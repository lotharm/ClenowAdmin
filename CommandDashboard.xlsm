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Trading\ClenowAdmin\"/>
    </mc:Choice>
  </mc:AlternateContent>
  <xr:revisionPtr revIDLastSave="0" documentId="13_ncr:1_{822DF20E-D7D9-45B1-9572-3A09F0B550F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rstelle" sheetId="1" r:id="rId1"/>
    <sheet name="Tabelle1" sheetId="3" r:id="rId2"/>
    <sheet name="Administratives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2" i="1" l="1"/>
  <c r="Q38" i="1"/>
  <c r="F57" i="1"/>
  <c r="F56" i="1"/>
  <c r="E56" i="1"/>
  <c r="E54" i="1"/>
  <c r="H10" i="2"/>
  <c r="K78" i="2"/>
  <c r="L78" i="2" s="1"/>
  <c r="M78" i="2" s="1"/>
  <c r="K79" i="2"/>
  <c r="L79" i="2" s="1"/>
  <c r="M79" i="2" s="1"/>
  <c r="K80" i="2"/>
  <c r="L80" i="2" s="1"/>
  <c r="M80" i="2" s="1"/>
  <c r="K81" i="2"/>
  <c r="L81" i="2" s="1"/>
  <c r="M81" i="2" s="1"/>
  <c r="K82" i="2"/>
  <c r="L82" i="2" s="1"/>
  <c r="M82" i="2" s="1"/>
  <c r="K83" i="2"/>
  <c r="L83" i="2" s="1"/>
  <c r="M83" i="2" s="1"/>
  <c r="K84" i="2"/>
  <c r="L84" i="2" s="1"/>
  <c r="M84" i="2" s="1"/>
  <c r="K85" i="2"/>
  <c r="L85" i="2" s="1"/>
  <c r="M85" i="2" s="1"/>
  <c r="K86" i="2"/>
  <c r="L86" i="2" s="1"/>
  <c r="M86" i="2" s="1"/>
  <c r="K87" i="2"/>
  <c r="L87" i="2" s="1"/>
  <c r="M87" i="2" s="1"/>
  <c r="K88" i="2"/>
  <c r="L88" i="2" s="1"/>
  <c r="M88" i="2" s="1"/>
  <c r="K89" i="2"/>
  <c r="L89" i="2" s="1"/>
  <c r="M89" i="2" s="1"/>
  <c r="K90" i="2"/>
  <c r="L90" i="2" s="1"/>
  <c r="M90" i="2" s="1"/>
  <c r="K91" i="2"/>
  <c r="L91" i="2" s="1"/>
  <c r="M91" i="2" s="1"/>
  <c r="K92" i="2"/>
  <c r="L92" i="2" s="1"/>
  <c r="M92" i="2" s="1"/>
  <c r="K93" i="2"/>
  <c r="L93" i="2" s="1"/>
  <c r="M93" i="2" s="1"/>
  <c r="K94" i="2"/>
  <c r="L94" i="2" s="1"/>
  <c r="M94" i="2" s="1"/>
  <c r="K95" i="2"/>
  <c r="L95" i="2" s="1"/>
  <c r="M95" i="2" s="1"/>
  <c r="K96" i="2"/>
  <c r="L96" i="2" s="1"/>
  <c r="M96" i="2" s="1"/>
  <c r="K97" i="2"/>
  <c r="L97" i="2" s="1"/>
  <c r="M97" i="2" s="1"/>
  <c r="K98" i="2"/>
  <c r="L98" i="2" s="1"/>
  <c r="M98" i="2" s="1"/>
  <c r="K99" i="2"/>
  <c r="L99" i="2" s="1"/>
  <c r="M99" i="2" s="1"/>
  <c r="K100" i="2"/>
  <c r="L100" i="2" s="1"/>
  <c r="M100" i="2" s="1"/>
  <c r="P8" i="2"/>
  <c r="K48" i="2"/>
  <c r="L48" i="2" s="1"/>
  <c r="M48" i="2" s="1"/>
  <c r="K49" i="2"/>
  <c r="L49" i="2" s="1"/>
  <c r="M49" i="2" s="1"/>
  <c r="K50" i="2"/>
  <c r="L50" i="2" s="1"/>
  <c r="M50" i="2" s="1"/>
  <c r="K51" i="2"/>
  <c r="L51" i="2" s="1"/>
  <c r="M51" i="2" s="1"/>
  <c r="K52" i="2"/>
  <c r="L52" i="2" s="1"/>
  <c r="M52" i="2" s="1"/>
  <c r="K53" i="2"/>
  <c r="L53" i="2" s="1"/>
  <c r="M53" i="2" s="1"/>
  <c r="K54" i="2"/>
  <c r="L54" i="2" s="1"/>
  <c r="M54" i="2" s="1"/>
  <c r="K55" i="2"/>
  <c r="L55" i="2" s="1"/>
  <c r="M55" i="2" s="1"/>
  <c r="K56" i="2"/>
  <c r="L56" i="2" s="1"/>
  <c r="M56" i="2" s="1"/>
  <c r="K57" i="2"/>
  <c r="L57" i="2" s="1"/>
  <c r="M57" i="2" s="1"/>
  <c r="K58" i="2"/>
  <c r="L58" i="2" s="1"/>
  <c r="M58" i="2" s="1"/>
  <c r="K59" i="2"/>
  <c r="L59" i="2" s="1"/>
  <c r="M59" i="2" s="1"/>
  <c r="K60" i="2"/>
  <c r="L60" i="2" s="1"/>
  <c r="M60" i="2" s="1"/>
  <c r="K61" i="2"/>
  <c r="L61" i="2" s="1"/>
  <c r="M61" i="2" s="1"/>
  <c r="K62" i="2"/>
  <c r="L62" i="2" s="1"/>
  <c r="M62" i="2" s="1"/>
  <c r="K63" i="2"/>
  <c r="L63" i="2" s="1"/>
  <c r="M63" i="2" s="1"/>
  <c r="K64" i="2"/>
  <c r="L64" i="2" s="1"/>
  <c r="M64" i="2" s="1"/>
  <c r="K65" i="2"/>
  <c r="L65" i="2" s="1"/>
  <c r="M65" i="2" s="1"/>
  <c r="K66" i="2"/>
  <c r="L66" i="2" s="1"/>
  <c r="M66" i="2" s="1"/>
  <c r="K67" i="2"/>
  <c r="L67" i="2" s="1"/>
  <c r="M67" i="2" s="1"/>
  <c r="K68" i="2"/>
  <c r="L68" i="2" s="1"/>
  <c r="M68" i="2" s="1"/>
  <c r="K69" i="2"/>
  <c r="L69" i="2" s="1"/>
  <c r="M69" i="2" s="1"/>
  <c r="K70" i="2"/>
  <c r="L70" i="2" s="1"/>
  <c r="M70" i="2" s="1"/>
  <c r="K71" i="2"/>
  <c r="L71" i="2" s="1"/>
  <c r="M71" i="2" s="1"/>
  <c r="K72" i="2"/>
  <c r="L72" i="2" s="1"/>
  <c r="M72" i="2" s="1"/>
  <c r="K73" i="2"/>
  <c r="L73" i="2" s="1"/>
  <c r="M73" i="2" s="1"/>
  <c r="K74" i="2"/>
  <c r="L74" i="2" s="1"/>
  <c r="M74" i="2" s="1"/>
  <c r="K75" i="2"/>
  <c r="L75" i="2" s="1"/>
  <c r="M75" i="2" s="1"/>
  <c r="K76" i="2"/>
  <c r="L76" i="2" s="1"/>
  <c r="M76" i="2" s="1"/>
  <c r="K77" i="2"/>
  <c r="L77" i="2" s="1"/>
  <c r="M77" i="2" s="1"/>
  <c r="K10" i="2"/>
  <c r="L10" i="2" s="1"/>
  <c r="M10" i="2" s="1"/>
  <c r="K11" i="2"/>
  <c r="L11" i="2" s="1"/>
  <c r="M11" i="2" s="1"/>
  <c r="K12" i="2"/>
  <c r="L12" i="2" s="1"/>
  <c r="M12" i="2" s="1"/>
  <c r="K13" i="2"/>
  <c r="L13" i="2" s="1"/>
  <c r="M13" i="2" s="1"/>
  <c r="K14" i="2"/>
  <c r="L14" i="2" s="1"/>
  <c r="M14" i="2" s="1"/>
  <c r="K15" i="2"/>
  <c r="L15" i="2" s="1"/>
  <c r="M15" i="2" s="1"/>
  <c r="K16" i="2"/>
  <c r="L16" i="2" s="1"/>
  <c r="M16" i="2" s="1"/>
  <c r="K17" i="2"/>
  <c r="L17" i="2" s="1"/>
  <c r="M17" i="2" s="1"/>
  <c r="K18" i="2"/>
  <c r="L18" i="2" s="1"/>
  <c r="M18" i="2" s="1"/>
  <c r="K19" i="2"/>
  <c r="L19" i="2" s="1"/>
  <c r="M19" i="2" s="1"/>
  <c r="K20" i="2"/>
  <c r="L20" i="2" s="1"/>
  <c r="M20" i="2" s="1"/>
  <c r="K21" i="2"/>
  <c r="L21" i="2" s="1"/>
  <c r="M21" i="2" s="1"/>
  <c r="K22" i="2"/>
  <c r="L22" i="2" s="1"/>
  <c r="M22" i="2" s="1"/>
  <c r="K23" i="2"/>
  <c r="L23" i="2" s="1"/>
  <c r="M23" i="2" s="1"/>
  <c r="K24" i="2"/>
  <c r="L24" i="2" s="1"/>
  <c r="M24" i="2" s="1"/>
  <c r="K25" i="2"/>
  <c r="L25" i="2" s="1"/>
  <c r="M25" i="2" s="1"/>
  <c r="K26" i="2"/>
  <c r="L26" i="2" s="1"/>
  <c r="M26" i="2" s="1"/>
  <c r="K27" i="2"/>
  <c r="L27" i="2" s="1"/>
  <c r="M27" i="2" s="1"/>
  <c r="K28" i="2"/>
  <c r="L28" i="2" s="1"/>
  <c r="M28" i="2" s="1"/>
  <c r="K29" i="2"/>
  <c r="L29" i="2" s="1"/>
  <c r="M29" i="2" s="1"/>
  <c r="K30" i="2"/>
  <c r="L30" i="2" s="1"/>
  <c r="M30" i="2" s="1"/>
  <c r="K31" i="2"/>
  <c r="L31" i="2" s="1"/>
  <c r="M31" i="2" s="1"/>
  <c r="K32" i="2"/>
  <c r="L32" i="2" s="1"/>
  <c r="M32" i="2" s="1"/>
  <c r="K33" i="2"/>
  <c r="L33" i="2" s="1"/>
  <c r="M33" i="2" s="1"/>
  <c r="K34" i="2"/>
  <c r="L34" i="2" s="1"/>
  <c r="M34" i="2" s="1"/>
  <c r="K35" i="2"/>
  <c r="L35" i="2" s="1"/>
  <c r="M35" i="2" s="1"/>
  <c r="K36" i="2"/>
  <c r="L36" i="2" s="1"/>
  <c r="M36" i="2" s="1"/>
  <c r="K37" i="2"/>
  <c r="L37" i="2" s="1"/>
  <c r="M37" i="2" s="1"/>
  <c r="K38" i="2"/>
  <c r="L38" i="2" s="1"/>
  <c r="M38" i="2" s="1"/>
  <c r="K39" i="2"/>
  <c r="L39" i="2" s="1"/>
  <c r="M39" i="2" s="1"/>
  <c r="K40" i="2"/>
  <c r="L40" i="2" s="1"/>
  <c r="M40" i="2" s="1"/>
  <c r="K41" i="2"/>
  <c r="L41" i="2" s="1"/>
  <c r="M41" i="2" s="1"/>
  <c r="K42" i="2"/>
  <c r="L42" i="2" s="1"/>
  <c r="M42" i="2" s="1"/>
  <c r="K43" i="2"/>
  <c r="L43" i="2" s="1"/>
  <c r="M43" i="2" s="1"/>
  <c r="K44" i="2"/>
  <c r="L44" i="2" s="1"/>
  <c r="M44" i="2" s="1"/>
  <c r="K45" i="2"/>
  <c r="L45" i="2" s="1"/>
  <c r="M45" i="2" s="1"/>
  <c r="K46" i="2"/>
  <c r="L46" i="2" s="1"/>
  <c r="M46" i="2" s="1"/>
  <c r="K47" i="2"/>
  <c r="L47" i="2" s="1"/>
  <c r="M47" i="2" s="1"/>
  <c r="K9" i="2"/>
  <c r="L9" i="2" s="1"/>
  <c r="M9" i="2" s="1"/>
  <c r="I10" i="2"/>
  <c r="J3" i="2"/>
  <c r="K3" i="2" s="1"/>
  <c r="N3" i="2" s="1"/>
  <c r="G1" i="1" a="1"/>
  <c r="G1" i="1" s="1"/>
  <c r="P9" i="2" l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<sst xmlns="http://schemas.openxmlformats.org/spreadsheetml/2006/main" count="435" uniqueCount="262">
  <si>
    <t>Laender</t>
  </si>
  <si>
    <t>US_long</t>
  </si>
  <si>
    <t>Deutschland500</t>
  </si>
  <si>
    <t xml:space="preserve">Indices </t>
  </si>
  <si>
    <t>Rohstoffe</t>
  </si>
  <si>
    <t>USSectors</t>
  </si>
  <si>
    <t>worldthemes</t>
  </si>
  <si>
    <t>asiapacific</t>
  </si>
  <si>
    <t>EUsektoren</t>
  </si>
  <si>
    <t>europa</t>
  </si>
  <si>
    <t>styles</t>
  </si>
  <si>
    <t>Hannah</t>
  </si>
  <si>
    <t>paul</t>
  </si>
  <si>
    <t>SmartPortfolio</t>
  </si>
  <si>
    <t>US_Clenow</t>
  </si>
  <si>
    <t>Deutschland500_Clenow</t>
  </si>
  <si>
    <t>name</t>
  </si>
  <si>
    <t>Datum</t>
  </si>
  <si>
    <t>Name</t>
  </si>
  <si>
    <t>market Cap floor</t>
  </si>
  <si>
    <t>US_Clenow_newpositions</t>
  </si>
  <si>
    <t xml:space="preserve">https://github.com/skyte/rs-log/raw/main/output/rs_industries.csv… </t>
  </si>
  <si>
    <t>https://github.com/skyte/rs-log/raw/main/output/rs_stocks.csv</t>
  </si>
  <si>
    <t xml:space="preserve">   </t>
  </si>
  <si>
    <t>Nasdaq StockScreener:</t>
  </si>
  <si>
    <t>Stock Screener | Nasdaq</t>
  </si>
  <si>
    <t>C:\Temp\Trading\ETFS\Mutterlisten\US_long.csv</t>
  </si>
  <si>
    <t>C:\Temp\Trading\ETFS\Mutterlisten\US_Clenow.csv</t>
  </si>
  <si>
    <t>C:\Temp\Trading\ETFS\Mutterlisten\Deutschland500_Clenow.csv</t>
  </si>
  <si>
    <t>France</t>
  </si>
  <si>
    <t>Risk $</t>
  </si>
  <si>
    <t>Price</t>
  </si>
  <si>
    <t>PosSize</t>
  </si>
  <si>
    <t>p Gewinn</t>
  </si>
  <si>
    <t>P Verlust</t>
  </si>
  <si>
    <t>R</t>
  </si>
  <si>
    <t>R mult</t>
  </si>
  <si>
    <t>Gewinn</t>
  </si>
  <si>
    <t>Date</t>
  </si>
  <si>
    <t>ticker</t>
  </si>
  <si>
    <t>NumOfStocks</t>
  </si>
  <si>
    <t>Fee</t>
  </si>
  <si>
    <t>Currency</t>
  </si>
  <si>
    <t>AGO</t>
  </si>
  <si>
    <t>USD</t>
  </si>
  <si>
    <t>2024-03-22, 12:57:06</t>
  </si>
  <si>
    <t>AIG</t>
  </si>
  <si>
    <t>2024-02-20, 15:57:27</t>
  </si>
  <si>
    <t>AIZ</t>
  </si>
  <si>
    <t>2024-01-23, 12:36:34</t>
  </si>
  <si>
    <t>ALL</t>
  </si>
  <si>
    <t>AMD</t>
  </si>
  <si>
    <t>2024-02-20, 09:39:48</t>
  </si>
  <si>
    <t>ANET</t>
  </si>
  <si>
    <t>2024-03-08, 11:27:15</t>
  </si>
  <si>
    <t>ANF</t>
  </si>
  <si>
    <t>2024-01-03, 10:02:49</t>
  </si>
  <si>
    <t>2024-03-07, 13:05:43</t>
  </si>
  <si>
    <t>AVPT</t>
  </si>
  <si>
    <t>2024-01-17, 09:59:39</t>
  </si>
  <si>
    <t>BRBR</t>
  </si>
  <si>
    <t>2024-02-15, 10:38:19</t>
  </si>
  <si>
    <t>2023-12-14, 09:41:14</t>
  </si>
  <si>
    <t>CBOE</t>
  </si>
  <si>
    <t>2023-12-21, 10:36:08</t>
  </si>
  <si>
    <t>2024-01-29, 09:38:14</t>
  </si>
  <si>
    <t>CDRE</t>
  </si>
  <si>
    <t>2023-12-12, 12:01:36</t>
  </si>
  <si>
    <t>2024-03-14, 10:10:44</t>
  </si>
  <si>
    <t>CHKP</t>
  </si>
  <si>
    <t>2024-02-20, 09:42:38</t>
  </si>
  <si>
    <t>2024-02-21, 09:30:01</t>
  </si>
  <si>
    <t>2024-02-21, 09:34:38</t>
  </si>
  <si>
    <t>2024-02-21, 09:50:51</t>
  </si>
  <si>
    <t>2024-02-21, 11:46:30</t>
  </si>
  <si>
    <t>2024-03-05, 10:18:36</t>
  </si>
  <si>
    <t>CNM</t>
  </si>
  <si>
    <t>CRH</t>
  </si>
  <si>
    <t>2024-03-11, 09:58:13</t>
  </si>
  <si>
    <t>CRWD</t>
  </si>
  <si>
    <t>2024-02-13, 09:30:04</t>
  </si>
  <si>
    <t>2024-03-08, 09:49:00</t>
  </si>
  <si>
    <t>2023-12-12, 09:30:30</t>
  </si>
  <si>
    <t>CXW</t>
  </si>
  <si>
    <t>CYBR</t>
  </si>
  <si>
    <t>2024-02-20, 09:30:05</t>
  </si>
  <si>
    <t>2023-12-05, 11:38:53</t>
  </si>
  <si>
    <t>EDU</t>
  </si>
  <si>
    <t>ENSG</t>
  </si>
  <si>
    <t>2024-03-01, 15:12:36</t>
  </si>
  <si>
    <t>FAST</t>
  </si>
  <si>
    <t>FTAI</t>
  </si>
  <si>
    <t>2024-02-13, 09:30:03</t>
  </si>
  <si>
    <t>GEO</t>
  </si>
  <si>
    <t>2024-01-25, 15:47:48</t>
  </si>
  <si>
    <t>GHC</t>
  </si>
  <si>
    <t>2024-02-05, 09:37:10</t>
  </si>
  <si>
    <t>GMS</t>
  </si>
  <si>
    <t>2024-03-07, 11:09:30</t>
  </si>
  <si>
    <t>2024-01-08, 09:30:03</t>
  </si>
  <si>
    <t>GPOR</t>
  </si>
  <si>
    <t>GWW</t>
  </si>
  <si>
    <t>2024-03-11, 09:46:26</t>
  </si>
  <si>
    <t>HCA</t>
  </si>
  <si>
    <t>HCC</t>
  </si>
  <si>
    <t>2024-02-05, 09:54:37</t>
  </si>
  <si>
    <t>HIG</t>
  </si>
  <si>
    <t>HLT</t>
  </si>
  <si>
    <t>HMN</t>
  </si>
  <si>
    <t>2023-12-21, 11:00:36</t>
  </si>
  <si>
    <t>2024-02-05, 09:35:29</t>
  </si>
  <si>
    <t>HNI</t>
  </si>
  <si>
    <t>2024-01-31, 09:57:14</t>
  </si>
  <si>
    <t>HOLI</t>
  </si>
  <si>
    <t>2024-01-18, 09:41:57</t>
  </si>
  <si>
    <t>HRB</t>
  </si>
  <si>
    <t>IBP</t>
  </si>
  <si>
    <t>2024-01-23, 10:42:35</t>
  </si>
  <si>
    <t>IONS</t>
  </si>
  <si>
    <t>IR</t>
  </si>
  <si>
    <t>ITT</t>
  </si>
  <si>
    <t>2024-02-13, 15:14:03</t>
  </si>
  <si>
    <t>JPM</t>
  </si>
  <si>
    <t>LLY</t>
  </si>
  <si>
    <t>2024-03-08, 09:53:02</t>
  </si>
  <si>
    <t>LRN</t>
  </si>
  <si>
    <t>2024-01-24, 09:32:36</t>
  </si>
  <si>
    <t>LULU</t>
  </si>
  <si>
    <t>2024-01-31, 09:35:06</t>
  </si>
  <si>
    <t>MHO</t>
  </si>
  <si>
    <t>2024-02-01, 10:52:42</t>
  </si>
  <si>
    <t>2023-12-15, 10:29:15</t>
  </si>
  <si>
    <t>MOH</t>
  </si>
  <si>
    <t>2023-12-14, 10:31:18</t>
  </si>
  <si>
    <t>MUSA</t>
  </si>
  <si>
    <t>NOW</t>
  </si>
  <si>
    <t>NRG</t>
  </si>
  <si>
    <t>2024-02-13, 09:30:36</t>
  </si>
  <si>
    <t>NTNX</t>
  </si>
  <si>
    <t>2024-03-11, 10:38:28</t>
  </si>
  <si>
    <t>PANW</t>
  </si>
  <si>
    <t>2024-03-01, 09:45:35</t>
  </si>
  <si>
    <t>2023-12-08, 09:36:05</t>
  </si>
  <si>
    <t>PDD</t>
  </si>
  <si>
    <t>2023-12-15, 09:30:02</t>
  </si>
  <si>
    <t>PGR</t>
  </si>
  <si>
    <t>PGTI</t>
  </si>
  <si>
    <t>2024-02-20, 09:30:11</t>
  </si>
  <si>
    <t>PTGX</t>
  </si>
  <si>
    <t>2024-03-11, 13:44:02</t>
  </si>
  <si>
    <t>QCOM</t>
  </si>
  <si>
    <t>2024-01-30, 12:27:11</t>
  </si>
  <si>
    <t>QLYS</t>
  </si>
  <si>
    <t>2024-01-26, 09:33:15</t>
  </si>
  <si>
    <t>RNA</t>
  </si>
  <si>
    <t>2024-03-25, 11:08:11</t>
  </si>
  <si>
    <t>ROAD</t>
  </si>
  <si>
    <t>2024-01-18, 09:38:11</t>
  </si>
  <si>
    <t>SNPS</t>
  </si>
  <si>
    <t>2024-01-02, 09:30:02</t>
  </si>
  <si>
    <t>SPOT</t>
  </si>
  <si>
    <t>2024-03-11, 09:32:23</t>
  </si>
  <si>
    <t>STRA</t>
  </si>
  <si>
    <t>2024-02-13, 15:14:07</t>
  </si>
  <si>
    <t>TRV</t>
  </si>
  <si>
    <t>UCTT</t>
  </si>
  <si>
    <t>2024-03-12, 10:16:47</t>
  </si>
  <si>
    <t>2023-12-13, 11:11:10</t>
  </si>
  <si>
    <t>UEC</t>
  </si>
  <si>
    <t>V</t>
  </si>
  <si>
    <t>VIV</t>
  </si>
  <si>
    <t>2024-01-18, 09:47:23</t>
  </si>
  <si>
    <t>VRT</t>
  </si>
  <si>
    <t>WAB</t>
  </si>
  <si>
    <t>WEX</t>
  </si>
  <si>
    <t>WINA</t>
  </si>
  <si>
    <t>2023-12-12, 12:02:19</t>
  </si>
  <si>
    <t>2024-01-03, 09:33:33</t>
  </si>
  <si>
    <t>WING</t>
  </si>
  <si>
    <t>2024-01-10, 11:21:46</t>
  </si>
  <si>
    <t>2024-02-21, 09:30:07</t>
  </si>
  <si>
    <t>WM</t>
  </si>
  <si>
    <t>ZS</t>
  </si>
  <si>
    <t>2024-02-21, 09:30:00</t>
  </si>
  <si>
    <t>real. PnL</t>
  </si>
  <si>
    <t>today m2m PnL</t>
  </si>
  <si>
    <t>EntryPrice</t>
  </si>
  <si>
    <t>% PnL</t>
  </si>
  <si>
    <t>2024-01-23, 06:24:00</t>
  </si>
  <si>
    <t>BEId</t>
  </si>
  <si>
    <t>EUR</t>
  </si>
  <si>
    <t>2024-01-11, 04:04:49</t>
  </si>
  <si>
    <t>DBKd</t>
  </si>
  <si>
    <t>2024-04-11, 03:01:49</t>
  </si>
  <si>
    <t>ENR</t>
  </si>
  <si>
    <t>2024-05-13, 04:15:01</t>
  </si>
  <si>
    <t>2024-04-25, 06:52:17</t>
  </si>
  <si>
    <t>FMNB</t>
  </si>
  <si>
    <t>2024-02-16, 03:28:03</t>
  </si>
  <si>
    <t>HLEd</t>
  </si>
  <si>
    <t>2024-04-25, 06:52:25</t>
  </si>
  <si>
    <t>HO</t>
  </si>
  <si>
    <t>2024-03-21, 10:18:36</t>
  </si>
  <si>
    <t>IDL</t>
  </si>
  <si>
    <t>2024-02-22, 03:02:47</t>
  </si>
  <si>
    <t>MTXd</t>
  </si>
  <si>
    <t>2023-12-14, 09:56:08</t>
  </si>
  <si>
    <t>MUV2d</t>
  </si>
  <si>
    <t>2024-02-09, 03:15:02</t>
  </si>
  <si>
    <t>MUXd</t>
  </si>
  <si>
    <t>2024-04-30, 06:00:07</t>
  </si>
  <si>
    <t>SDV</t>
  </si>
  <si>
    <t>2024-03-18, 11:59:11</t>
  </si>
  <si>
    <t>SFQd</t>
  </si>
  <si>
    <t>2024-03-22, 05:21:51</t>
  </si>
  <si>
    <t>SHAd</t>
  </si>
  <si>
    <t>2024-05-03, 06:14:48</t>
  </si>
  <si>
    <t>SMHNd</t>
  </si>
  <si>
    <t>2024-04-09, 10:43:07</t>
  </si>
  <si>
    <t>2024-05-07, 09:30:27</t>
  </si>
  <si>
    <t>CAVA</t>
  </si>
  <si>
    <t>2024-03-27, 10:48:23</t>
  </si>
  <si>
    <t>2024-05-08, 09:36:05</t>
  </si>
  <si>
    <t>CPNG</t>
  </si>
  <si>
    <t>2024-04-01, 15:51:36</t>
  </si>
  <si>
    <t>2024-04-04, 14:27:21</t>
  </si>
  <si>
    <t>ETN</t>
  </si>
  <si>
    <t>2024-04-09, 10:34:42</t>
  </si>
  <si>
    <t>2024-05-01, 09:43:59</t>
  </si>
  <si>
    <t>2024-04-09, 14:00:31</t>
  </si>
  <si>
    <t>EXP</t>
  </si>
  <si>
    <t>2024-04-02, 12:11:40</t>
  </si>
  <si>
    <t>2024-05-07, 09:50:53</t>
  </si>
  <si>
    <t>2024-05-13, 09:30:45</t>
  </si>
  <si>
    <t>GE</t>
  </si>
  <si>
    <t>2024-04-04, 15:42:51</t>
  </si>
  <si>
    <t>2024-04-09, 10:38:43</t>
  </si>
  <si>
    <t>2024-04-04, 14:44:37</t>
  </si>
  <si>
    <t>2024-04-10, 09:30:04</t>
  </si>
  <si>
    <t>HWM</t>
  </si>
  <si>
    <t>2024-04-09, 10:05:38</t>
  </si>
  <si>
    <t>2024-04-02, 09:35:36</t>
  </si>
  <si>
    <t>2024-04-03, 15:15:12</t>
  </si>
  <si>
    <t>2024-04-12, 13:07:28</t>
  </si>
  <si>
    <t>2024-04-12, 15:10:04</t>
  </si>
  <si>
    <t>2024-05-01, 09:30:01</t>
  </si>
  <si>
    <t>RSG</t>
  </si>
  <si>
    <t>2024-04-09, 10:33:04</t>
  </si>
  <si>
    <t>SPXC</t>
  </si>
  <si>
    <t>2024-04-09, 10:37:17</t>
  </si>
  <si>
    <t>2024-04-03, 15:15:13</t>
  </si>
  <si>
    <t>2024-05-13, 09:35:25</t>
  </si>
  <si>
    <t>VITL</t>
  </si>
  <si>
    <t>2024-03-27, 10:02:44</t>
  </si>
  <si>
    <t>2024-03-27, 11:53:06</t>
  </si>
  <si>
    <t>2024-05-13, 13:24:56</t>
  </si>
  <si>
    <t>VST</t>
  </si>
  <si>
    <t>2024-04-10, 09:30:01</t>
  </si>
  <si>
    <t>2024-05-13, 13:06:12</t>
  </si>
  <si>
    <t>2024-04-12, 12:28:59</t>
  </si>
  <si>
    <t>2024-04-01, 11:59:26</t>
  </si>
  <si>
    <t>Faber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</si>
</sst>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yyyy\-mm\-dd;@"/>
    <numFmt numFmtId="165" formatCode="0.00_);\(0.00\)"/>
    <numFmt numFmtId="166" formatCode="0.00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"/>
      <color rgb="FF333333"/>
      <name val="Inherit"/>
    </font>
    <font>
      <sz val="7"/>
      <color rgb="FF333333"/>
      <name val="Arial"/>
      <family val="2"/>
    </font>
    <font>
      <sz val="7"/>
      <color rgb="FF000000"/>
      <name val="Arial"/>
      <family val="2"/>
    </font>
    <font>
      <sz val="7"/>
      <color rgb="FF0EA600"/>
      <name val="Arial"/>
      <family val="2"/>
    </font>
    <font>
      <sz val="7"/>
      <color rgb="FFFF0000"/>
      <name val="Arial"/>
      <family val="2"/>
    </font>
    <font>
      <sz val="18"/>
      <color rgb="FF0066CC"/>
      <name val="Calibri"/>
      <family val="2"/>
    </font>
    <font>
      <sz val="14"/>
      <color rgb="FF0066CC"/>
      <name val="Calibri"/>
      <family val="2"/>
    </font>
    <font>
      <sz val="12"/>
      <color rgb="FF000000"/>
      <name val="Calibri"/>
      <family val="2"/>
    </font>
    <font>
      <sz val="12"/>
      <color rgb="FF0066CC"/>
      <name val="Calibri"/>
      <family val="2"/>
    </font>
    <font>
      <sz val="10"/>
      <color rgb="FF000000"/>
      <name val="Calibri"/>
      <family val="2"/>
    </font>
    <font>
      <b/>
      <sz val="11"/>
      <color rgb="FF00808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BABABA"/>
      </top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1" fillId="3" borderId="1" xfId="0" applyFont="1" applyFill="1" applyBorder="1"/>
    <xf numFmtId="0" fontId="0" fillId="5" borderId="0" xfId="0" applyFill="1" applyBorder="1"/>
    <xf numFmtId="0" fontId="2" fillId="0" borderId="5" xfId="0" applyFont="1" applyBorder="1"/>
    <xf numFmtId="0" fontId="2" fillId="0" borderId="0" xfId="0" applyFont="1" applyBorder="1"/>
    <xf numFmtId="0" fontId="0" fillId="0" borderId="0" xfId="0" applyAlignment="1">
      <alignment wrapText="1"/>
    </xf>
    <xf numFmtId="0" fontId="4" fillId="0" borderId="0" xfId="2"/>
    <xf numFmtId="0" fontId="5" fillId="6" borderId="0" xfId="0" applyFont="1" applyFill="1" applyAlignment="1">
      <alignment horizontal="left" vertical="center"/>
    </xf>
    <xf numFmtId="0" fontId="5" fillId="6" borderId="0" xfId="0" applyFont="1" applyFill="1" applyAlignment="1">
      <alignment horizontal="right" vertical="center"/>
    </xf>
    <xf numFmtId="20" fontId="6" fillId="6" borderId="10" xfId="0" applyNumberFormat="1" applyFont="1" applyFill="1" applyBorder="1" applyAlignment="1">
      <alignment horizontal="left" vertical="center" wrapText="1"/>
    </xf>
    <xf numFmtId="0" fontId="7" fillId="6" borderId="10" xfId="0" applyFont="1" applyFill="1" applyBorder="1" applyAlignment="1">
      <alignment horizontal="right" vertical="center"/>
    </xf>
    <xf numFmtId="164" fontId="5" fillId="6" borderId="0" xfId="0" applyNumberFormat="1" applyFont="1" applyFill="1" applyAlignment="1">
      <alignment horizontal="left" vertical="center"/>
    </xf>
    <xf numFmtId="164" fontId="5" fillId="6" borderId="10" xfId="0" applyNumberFormat="1" applyFont="1" applyFill="1" applyBorder="1" applyAlignment="1">
      <alignment horizontal="left" vertical="center" wrapText="1"/>
    </xf>
    <xf numFmtId="164" fontId="4" fillId="0" borderId="0" xfId="2" applyNumberFormat="1" applyAlignment="1">
      <alignment horizontal="center" vertical="center" wrapText="1"/>
    </xf>
    <xf numFmtId="164" fontId="0" fillId="0" borderId="0" xfId="0" applyNumberFormat="1"/>
    <xf numFmtId="165" fontId="8" fillId="6" borderId="10" xfId="1" applyNumberFormat="1" applyFont="1" applyFill="1" applyBorder="1" applyAlignment="1">
      <alignment horizontal="right" vertical="center"/>
    </xf>
    <xf numFmtId="165" fontId="6" fillId="6" borderId="10" xfId="1" applyNumberFormat="1" applyFont="1" applyFill="1" applyBorder="1" applyAlignment="1">
      <alignment horizontal="right" vertical="center"/>
    </xf>
    <xf numFmtId="165" fontId="9" fillId="6" borderId="10" xfId="1" applyNumberFormat="1" applyFont="1" applyFill="1" applyBorder="1" applyAlignment="1">
      <alignment horizontal="right" vertical="center"/>
    </xf>
    <xf numFmtId="165" fontId="7" fillId="6" borderId="10" xfId="1" applyNumberFormat="1" applyFont="1" applyFill="1" applyBorder="1" applyAlignment="1">
      <alignment horizontal="right" vertical="center"/>
    </xf>
    <xf numFmtId="0" fontId="0" fillId="7" borderId="0" xfId="0" applyFill="1"/>
    <xf numFmtId="0" fontId="0" fillId="8" borderId="0" xfId="0" applyFill="1" applyBorder="1"/>
    <xf numFmtId="0" fontId="0" fillId="0" borderId="0" xfId="0" applyFill="1" applyBorder="1"/>
    <xf numFmtId="0" fontId="0" fillId="8" borderId="0" xfId="0" applyFill="1"/>
    <xf numFmtId="0" fontId="0" fillId="9" borderId="0" xfId="0" applyFill="1" applyBorder="1"/>
    <xf numFmtId="0" fontId="1" fillId="9" borderId="0" xfId="0" applyFont="1" applyFill="1" applyBorder="1"/>
    <xf numFmtId="0" fontId="0" fillId="0" borderId="6" xfId="0" applyFill="1" applyBorder="1"/>
    <xf numFmtId="0" fontId="0" fillId="0" borderId="1" xfId="0" applyBorder="1"/>
    <xf numFmtId="10" fontId="0" fillId="0" borderId="0" xfId="0" applyNumberFormat="1"/>
    <xf numFmtId="0" fontId="1" fillId="0" borderId="0" xfId="0" applyFont="1"/>
    <xf numFmtId="166" fontId="0" fillId="0" borderId="0" xfId="0" applyNumberFormat="1"/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externalLink" Target="externalLinks/externalLink1.xml"/><Relationship Id="rId9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Administratives!$P$8:$P$100</c:f>
              <c:numCache>
                <c:formatCode>General</c:formatCode>
                <c:ptCount val="93"/>
                <c:pt idx="0">
                  <c:v>2000</c:v>
                </c:pt>
                <c:pt idx="1">
                  <c:v>2200</c:v>
                </c:pt>
                <c:pt idx="2">
                  <c:v>2420</c:v>
                </c:pt>
                <c:pt idx="3">
                  <c:v>2662</c:v>
                </c:pt>
                <c:pt idx="4">
                  <c:v>2528.9</c:v>
                </c:pt>
                <c:pt idx="5">
                  <c:v>2402.4549999999999</c:v>
                </c:pt>
                <c:pt idx="6">
                  <c:v>2642.7004999999999</c:v>
                </c:pt>
                <c:pt idx="7">
                  <c:v>2906.97055</c:v>
                </c:pt>
                <c:pt idx="8">
                  <c:v>3197.6676050000001</c:v>
                </c:pt>
                <c:pt idx="9">
                  <c:v>3037.7842247499998</c:v>
                </c:pt>
                <c:pt idx="10">
                  <c:v>2885.8950135124996</c:v>
                </c:pt>
                <c:pt idx="11">
                  <c:v>2741.6002628368747</c:v>
                </c:pt>
                <c:pt idx="12">
                  <c:v>2604.520249695031</c:v>
                </c:pt>
                <c:pt idx="13">
                  <c:v>2864.9722746645343</c:v>
                </c:pt>
                <c:pt idx="14">
                  <c:v>3151.4695021309881</c:v>
                </c:pt>
                <c:pt idx="15">
                  <c:v>2993.8960270244384</c:v>
                </c:pt>
                <c:pt idx="16">
                  <c:v>3293.2856297268822</c:v>
                </c:pt>
                <c:pt idx="17">
                  <c:v>3622.6141926995706</c:v>
                </c:pt>
                <c:pt idx="18">
                  <c:v>3984.8756119695281</c:v>
                </c:pt>
                <c:pt idx="19">
                  <c:v>3785.6318313710517</c:v>
                </c:pt>
                <c:pt idx="20">
                  <c:v>3596.3502398024989</c:v>
                </c:pt>
                <c:pt idx="21">
                  <c:v>3955.9852637827489</c:v>
                </c:pt>
                <c:pt idx="22">
                  <c:v>3758.1860005936114</c:v>
                </c:pt>
                <c:pt idx="23">
                  <c:v>4134.0046006529728</c:v>
                </c:pt>
                <c:pt idx="24">
                  <c:v>3927.3043706203239</c:v>
                </c:pt>
                <c:pt idx="25">
                  <c:v>3730.9391520893073</c:v>
                </c:pt>
                <c:pt idx="26">
                  <c:v>3544.3921944848416</c:v>
                </c:pt>
                <c:pt idx="27">
                  <c:v>3367.1725847605994</c:v>
                </c:pt>
                <c:pt idx="28">
                  <c:v>3703.8898432366595</c:v>
                </c:pt>
                <c:pt idx="29">
                  <c:v>3518.6953510748262</c:v>
                </c:pt>
                <c:pt idx="30">
                  <c:v>3870.5648861823092</c:v>
                </c:pt>
                <c:pt idx="31">
                  <c:v>3677.0366418731937</c:v>
                </c:pt>
                <c:pt idx="32">
                  <c:v>4044.7403060605134</c:v>
                </c:pt>
                <c:pt idx="33">
                  <c:v>3842.5032907574873</c:v>
                </c:pt>
                <c:pt idx="34">
                  <c:v>3650.3781262196126</c:v>
                </c:pt>
                <c:pt idx="35">
                  <c:v>4015.4159388415742</c:v>
                </c:pt>
                <c:pt idx="36">
                  <c:v>3814.6451418994952</c:v>
                </c:pt>
                <c:pt idx="37">
                  <c:v>4196.1096560894448</c:v>
                </c:pt>
                <c:pt idx="38">
                  <c:v>4615.7206216983896</c:v>
                </c:pt>
                <c:pt idx="39">
                  <c:v>4384.9345906134695</c:v>
                </c:pt>
                <c:pt idx="40">
                  <c:v>4823.428049674817</c:v>
                </c:pt>
                <c:pt idx="41">
                  <c:v>5305.7708546422991</c:v>
                </c:pt>
                <c:pt idx="42">
                  <c:v>5836.3479401065297</c:v>
                </c:pt>
                <c:pt idx="43">
                  <c:v>6419.9827341171831</c:v>
                </c:pt>
                <c:pt idx="44">
                  <c:v>6098.9835974113239</c:v>
                </c:pt>
                <c:pt idx="45">
                  <c:v>6708.8819571524564</c:v>
                </c:pt>
                <c:pt idx="46">
                  <c:v>7379.7701528677026</c:v>
                </c:pt>
                <c:pt idx="47">
                  <c:v>8117.7471681544739</c:v>
                </c:pt>
                <c:pt idx="48">
                  <c:v>7711.8598097467502</c:v>
                </c:pt>
                <c:pt idx="49">
                  <c:v>8483.0457907214259</c:v>
                </c:pt>
                <c:pt idx="50">
                  <c:v>8058.8935011853546</c:v>
                </c:pt>
                <c:pt idx="51">
                  <c:v>7655.9488261260867</c:v>
                </c:pt>
                <c:pt idx="52">
                  <c:v>7273.1513848197819</c:v>
                </c:pt>
                <c:pt idx="53">
                  <c:v>8000.4665233017604</c:v>
                </c:pt>
                <c:pt idx="54">
                  <c:v>7600.4431971366721</c:v>
                </c:pt>
                <c:pt idx="55">
                  <c:v>7220.4210372798379</c:v>
                </c:pt>
                <c:pt idx="56">
                  <c:v>6859.3999854158455</c:v>
                </c:pt>
                <c:pt idx="57">
                  <c:v>6516.4299861450527</c:v>
                </c:pt>
                <c:pt idx="58">
                  <c:v>7168.0729847595585</c:v>
                </c:pt>
                <c:pt idx="59">
                  <c:v>6809.6693355215803</c:v>
                </c:pt>
                <c:pt idx="60">
                  <c:v>6469.1858687455006</c:v>
                </c:pt>
                <c:pt idx="61">
                  <c:v>6145.7265753082256</c:v>
                </c:pt>
                <c:pt idx="62">
                  <c:v>6760.2992328390483</c:v>
                </c:pt>
                <c:pt idx="63">
                  <c:v>7436.3291561229535</c:v>
                </c:pt>
                <c:pt idx="64">
                  <c:v>7064.5126983168057</c:v>
                </c:pt>
                <c:pt idx="65">
                  <c:v>6711.2870634009651</c:v>
                </c:pt>
                <c:pt idx="66">
                  <c:v>6375.7227102309162</c:v>
                </c:pt>
                <c:pt idx="67">
                  <c:v>6056.9365747193697</c:v>
                </c:pt>
                <c:pt idx="68">
                  <c:v>6662.6302321913072</c:v>
                </c:pt>
                <c:pt idx="69">
                  <c:v>6329.4987205817415</c:v>
                </c:pt>
                <c:pt idx="70">
                  <c:v>6013.0237845526544</c:v>
                </c:pt>
                <c:pt idx="71">
                  <c:v>6614.3261630079205</c:v>
                </c:pt>
                <c:pt idx="72">
                  <c:v>7275.7587793087132</c:v>
                </c:pt>
                <c:pt idx="73">
                  <c:v>6911.9708403432769</c:v>
                </c:pt>
                <c:pt idx="74">
                  <c:v>7603.1679243776052</c:v>
                </c:pt>
                <c:pt idx="75">
                  <c:v>8363.4847168153665</c:v>
                </c:pt>
                <c:pt idx="76">
                  <c:v>7945.3104809745973</c:v>
                </c:pt>
                <c:pt idx="77">
                  <c:v>8739.8415290720586</c:v>
                </c:pt>
                <c:pt idx="78">
                  <c:v>8302.849452618455</c:v>
                </c:pt>
                <c:pt idx="79">
                  <c:v>9133.1343978803015</c:v>
                </c:pt>
                <c:pt idx="80">
                  <c:v>10046.447837668333</c:v>
                </c:pt>
                <c:pt idx="81">
                  <c:v>9544.1254457849154</c:v>
                </c:pt>
                <c:pt idx="82">
                  <c:v>9066.9191734956694</c:v>
                </c:pt>
                <c:pt idx="83">
                  <c:v>9973.6110908452374</c:v>
                </c:pt>
                <c:pt idx="84">
                  <c:v>9474.9305363029744</c:v>
                </c:pt>
                <c:pt idx="85">
                  <c:v>9001.1840094878244</c:v>
                </c:pt>
                <c:pt idx="86">
                  <c:v>9901.3024104366068</c:v>
                </c:pt>
                <c:pt idx="87">
                  <c:v>10891.432651480269</c:v>
                </c:pt>
                <c:pt idx="88">
                  <c:v>10346.861018906255</c:v>
                </c:pt>
                <c:pt idx="89">
                  <c:v>9829.517967960941</c:v>
                </c:pt>
                <c:pt idx="90">
                  <c:v>9338.0420695628927</c:v>
                </c:pt>
                <c:pt idx="91">
                  <c:v>8871.1399660847474</c:v>
                </c:pt>
                <c:pt idx="92">
                  <c:v>9758.253962693223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9-42DE-8DEA-0945763CB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703384"/>
        <c:axId val="1098703744"/>
      </c:lineChart>
      <c:catAx>
        <c:axId val="1098703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744"/>
        <c:crosses val="autoZero"/>
        <c:auto val="1"/>
        <c:lblAlgn val="ctr"/>
        <c:lblOffset val="100"/>
        <c:noMultiLvlLbl val="0"/>
      </c:catAx>
      <c:valAx>
        <c:axId val="109870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1</xdr:row>
          <xdr:rowOff>60960</xdr:rowOff>
        </xdr:from>
        <xdr:to>
          <xdr:col>5</xdr:col>
          <xdr:colOff>327660</xdr:colOff>
          <xdr:row>6</xdr:row>
          <xdr:rowOff>30480</xdr:rowOff>
        </xdr:to>
        <xdr:sp macro="" textlink="">
          <xdr:nvSpPr>
            <xdr:cNvPr id="1025" name="Button 1" descr="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8</xdr:row>
          <xdr:rowOff>68580</xdr:rowOff>
        </xdr:from>
        <xdr:to>
          <xdr:col>5</xdr:col>
          <xdr:colOff>746760</xdr:colOff>
          <xdr:row>13</xdr:row>
          <xdr:rowOff>106680</xdr:rowOff>
        </xdr:to>
        <xdr:sp macro="" textlink="">
          <xdr:nvSpPr>
            <xdr:cNvPr id="1026" name="Button 2" descr="MomentumOhneDataBa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</xdr:row>
          <xdr:rowOff>38100</xdr:rowOff>
        </xdr:from>
        <xdr:to>
          <xdr:col>11</xdr:col>
          <xdr:colOff>213360</xdr:colOff>
          <xdr:row>9</xdr:row>
          <xdr:rowOff>22860</xdr:rowOff>
        </xdr:to>
        <xdr:sp macro="" textlink="">
          <xdr:nvSpPr>
            <xdr:cNvPr id="1027" name="Button 3" descr="MomentumOhneDataBa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(DE oder US)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11</xdr:row>
          <xdr:rowOff>76200</xdr:rowOff>
        </xdr:from>
        <xdr:to>
          <xdr:col>11</xdr:col>
          <xdr:colOff>213360</xdr:colOff>
          <xdr:row>19</xdr:row>
          <xdr:rowOff>45720</xdr:rowOff>
        </xdr:to>
        <xdr:sp macro="" textlink="">
          <xdr:nvSpPr>
            <xdr:cNvPr id="1031" name="Button 7" descr="MomentumOhneDataBas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(Clenow Portfolien)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17</xdr:row>
          <xdr:rowOff>45720</xdr:rowOff>
        </xdr:from>
        <xdr:to>
          <xdr:col>5</xdr:col>
          <xdr:colOff>327660</xdr:colOff>
          <xdr:row>22</xdr:row>
          <xdr:rowOff>83820</xdr:rowOff>
        </xdr:to>
        <xdr:sp macro="" textlink="">
          <xdr:nvSpPr>
            <xdr:cNvPr id="1032" name="Button 8" descr="Nur Momentum  OHNE Databa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Nur Momentum 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3</xdr:row>
          <xdr:rowOff>7620</xdr:rowOff>
        </xdr:from>
        <xdr:to>
          <xdr:col>18</xdr:col>
          <xdr:colOff>251460</xdr:colOff>
          <xdr:row>8</xdr:row>
          <xdr:rowOff>45720</xdr:rowOff>
        </xdr:to>
        <xdr:sp macro="" textlink="">
          <xdr:nvSpPr>
            <xdr:cNvPr id="1033" name="Button 9" descr="Nur Momentum  OHNE Databas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MovesRiskAdjusted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14</xdr:row>
          <xdr:rowOff>7620</xdr:rowOff>
        </xdr:from>
        <xdr:to>
          <xdr:col>18</xdr:col>
          <xdr:colOff>251460</xdr:colOff>
          <xdr:row>19</xdr:row>
          <xdr:rowOff>45720</xdr:rowOff>
        </xdr:to>
        <xdr:sp macro="" textlink="">
          <xdr:nvSpPr>
            <xdr:cNvPr id="1034" name="Button 10" descr="Nur Momentum  OHNE Databas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Breadth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22</xdr:row>
          <xdr:rowOff>114300</xdr:rowOff>
        </xdr:from>
        <xdr:to>
          <xdr:col>11</xdr:col>
          <xdr:colOff>541020</xdr:colOff>
          <xdr:row>29</xdr:row>
          <xdr:rowOff>114300</xdr:rowOff>
        </xdr:to>
        <xdr:sp macro="" textlink="">
          <xdr:nvSpPr>
            <xdr:cNvPr id="1035" name="Button 11" descr="GetDat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Baue neue Mutterliste nach Positionsupdate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26</xdr:row>
          <xdr:rowOff>45720</xdr:rowOff>
        </xdr:from>
        <xdr:to>
          <xdr:col>4</xdr:col>
          <xdr:colOff>289560</xdr:colOff>
          <xdr:row>29</xdr:row>
          <xdr:rowOff>175260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Positionsupdate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32</xdr:row>
          <xdr:rowOff>144780</xdr:rowOff>
        </xdr:from>
        <xdr:to>
          <xdr:col>4</xdr:col>
          <xdr:colOff>274320</xdr:colOff>
          <xdr:row>36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Transaktionen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33</xdr:row>
          <xdr:rowOff>60960</xdr:rowOff>
        </xdr:from>
        <xdr:to>
          <xdr:col>11</xdr:col>
          <xdr:colOff>647700</xdr:colOff>
          <xdr:row>37</xdr:row>
          <xdr:rowOff>121920</xdr:rowOff>
        </xdr:to>
        <xdr:sp macro="" textlink="">
          <xdr:nvSpPr>
            <xdr:cNvPr id="1038" name="Button 14" descr="GetDat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PositionKeepingClenow.xlsx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Update der Momentum Tabellen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426225</xdr:colOff>
      <xdr:row>25</xdr:row>
      <xdr:rowOff>102375</xdr:rowOff>
    </xdr:from>
    <xdr:to>
      <xdr:col>2</xdr:col>
      <xdr:colOff>563385</xdr:colOff>
      <xdr:row>30</xdr:row>
      <xdr:rowOff>111900</xdr:rowOff>
    </xdr:to>
    <xdr:pic>
      <xdr:nvPicPr>
        <xdr:cNvPr id="5" name="Grafik 4" descr="Marke 1 Silhouett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6800" y="4645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290475</xdr:colOff>
      <xdr:row>24</xdr:row>
      <xdr:rowOff>90450</xdr:rowOff>
    </xdr:from>
    <xdr:to>
      <xdr:col>8</xdr:col>
      <xdr:colOff>492405</xdr:colOff>
      <xdr:row>29</xdr:row>
      <xdr:rowOff>111405</xdr:rowOff>
    </xdr:to>
    <xdr:pic>
      <xdr:nvPicPr>
        <xdr:cNvPr id="7" name="Grafik 6" descr="Abzeichen Silhouet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24475" y="4452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558108</xdr:colOff>
      <xdr:row>33</xdr:row>
      <xdr:rowOff>50902</xdr:rowOff>
    </xdr:from>
    <xdr:to>
      <xdr:col>8</xdr:col>
      <xdr:colOff>156153</xdr:colOff>
      <xdr:row>38</xdr:row>
      <xdr:rowOff>68047</xdr:rowOff>
    </xdr:to>
    <xdr:pic>
      <xdr:nvPicPr>
        <xdr:cNvPr id="9" name="Grafik 8" descr="Marke 4 Silhouett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01558" y="6070702"/>
          <a:ext cx="925830" cy="925830"/>
        </a:xfrm>
        <a:prstGeom prst="rect">
          <a:avLst/>
        </a:prstGeom>
      </xdr:spPr>
    </xdr:pic>
    <xdr:clientData/>
  </xdr:twoCellAnchor>
  <xdr:twoCellAnchor editAs="oneCell">
    <xdr:from>
      <xdr:col>8</xdr:col>
      <xdr:colOff>409575</xdr:colOff>
      <xdr:row>5</xdr:row>
      <xdr:rowOff>47625</xdr:rowOff>
    </xdr:from>
    <xdr:to>
      <xdr:col>8</xdr:col>
      <xdr:colOff>1352550</xdr:colOff>
      <xdr:row>10</xdr:row>
      <xdr:rowOff>122872</xdr:rowOff>
    </xdr:to>
    <xdr:pic>
      <xdr:nvPicPr>
        <xdr:cNvPr id="11" name="Grafik 10" descr="Marke 1 mit einfarbiger Füllu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77000" y="981075"/>
          <a:ext cx="939165" cy="9782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39</xdr:row>
          <xdr:rowOff>38100</xdr:rowOff>
        </xdr:from>
        <xdr:to>
          <xdr:col>3</xdr:col>
          <xdr:colOff>678180</xdr:colOff>
          <xdr:row>42</xdr:row>
          <xdr:rowOff>144780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PositionKeepingClenow.xlsm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345282</xdr:colOff>
      <xdr:row>14</xdr:row>
      <xdr:rowOff>59531</xdr:rowOff>
    </xdr:from>
    <xdr:to>
      <xdr:col>8</xdr:col>
      <xdr:colOff>1074857</xdr:colOff>
      <xdr:row>18</xdr:row>
      <xdr:rowOff>76200</xdr:rowOff>
    </xdr:to>
    <xdr:pic>
      <xdr:nvPicPr>
        <xdr:cNvPr id="2" name="Grafik 1" descr="Marke 1 mit einfarbiger Füllu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03157" y="2774156"/>
          <a:ext cx="727670" cy="7653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40</xdr:row>
          <xdr:rowOff>160020</xdr:rowOff>
        </xdr:from>
        <xdr:to>
          <xdr:col>11</xdr:col>
          <xdr:colOff>708660</xdr:colOff>
          <xdr:row>45</xdr:row>
          <xdr:rowOff>38100</xdr:rowOff>
        </xdr:to>
        <xdr:sp macro="" textlink="">
          <xdr:nvSpPr>
            <xdr:cNvPr id="1040" name="Button 16" descr="GetData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Baue neue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…_newpositions.csv nach Selektion neuer Ticker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66CC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10</xdr:row>
          <xdr:rowOff>68580</xdr:rowOff>
        </xdr:from>
        <xdr:to>
          <xdr:col>3</xdr:col>
          <xdr:colOff>152400</xdr:colOff>
          <xdr:row>13</xdr:row>
          <xdr:rowOff>106680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GetData  &amp; Momentum Alle ETF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143435</xdr:colOff>
      <xdr:row>1</xdr:row>
      <xdr:rowOff>313765</xdr:rowOff>
    </xdr:from>
    <xdr:to>
      <xdr:col>20</xdr:col>
      <xdr:colOff>712694</xdr:colOff>
      <xdr:row>15</xdr:row>
      <xdr:rowOff>53788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Temp\Trading\ClenowAdmin\PositionKeepingClenow.xlsm" TargetMode="External"/><Relationship Id="rId1" Type="http://schemas.openxmlformats.org/officeDocument/2006/relationships/externalLinkPath" Target="PositionKeepingClen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_long freshly screened"/>
      <sheetName val="PROCESS"/>
      <sheetName val="US_long actual position"/>
      <sheetName val="TEMP US"/>
      <sheetName val="Neugesch"/>
      <sheetName val="Newbis"/>
      <sheetName val="Deutschland500 freshly screened"/>
      <sheetName val="Deutschland500 freshly exp"/>
      <sheetName val="Deutschland500 actual position"/>
      <sheetName val="TEMP Deutschland500"/>
      <sheetName val="rs_stocks"/>
      <sheetName val="rs_industries"/>
      <sheetName val="Faber"/>
      <sheetName val="worldthemes"/>
      <sheetName val="styles"/>
      <sheetName val="France"/>
      <sheetName val="Laender"/>
      <sheetName val="USSectors"/>
      <sheetName val="EUsektoren"/>
      <sheetName val="europa"/>
      <sheetName val="Indices"/>
      <sheetName val="Rohstoffe"/>
      <sheetName val="asiapacificeast"/>
      <sheetName val="Tabelle3"/>
      <sheetName val="Hannah"/>
      <sheetName val="Tabelle1"/>
    </sheetNames>
    <sheetDataSet>
      <sheetData sheetId="0" refreshError="1"/>
      <sheetData sheetId="1" refreshError="1"/>
      <sheetData sheetId="2" refreshError="1"/>
      <sheetData sheetId="3">
        <row r="2">
          <cell r="B2">
            <v>98</v>
          </cell>
          <cell r="C2">
            <v>95</v>
          </cell>
          <cell r="D2">
            <v>24</v>
          </cell>
          <cell r="E2">
            <v>62</v>
          </cell>
          <cell r="F2" t="e">
            <v>#N/A</v>
          </cell>
        </row>
        <row r="3">
          <cell r="B3">
            <v>59</v>
          </cell>
          <cell r="C3">
            <v>89</v>
          </cell>
          <cell r="D3">
            <v>6</v>
          </cell>
          <cell r="E3">
            <v>59</v>
          </cell>
          <cell r="F3" t="e">
            <v>#N/A</v>
          </cell>
        </row>
        <row r="4">
          <cell r="B4">
            <v>35</v>
          </cell>
          <cell r="C4">
            <v>73</v>
          </cell>
          <cell r="D4">
            <v>162</v>
          </cell>
          <cell r="E4">
            <v>59</v>
          </cell>
          <cell r="F4" t="e">
            <v>#N/A</v>
          </cell>
        </row>
        <row r="5">
          <cell r="B5">
            <v>99</v>
          </cell>
          <cell r="C5">
            <v>99</v>
          </cell>
          <cell r="D5">
            <v>200</v>
          </cell>
          <cell r="E5">
            <v>59</v>
          </cell>
          <cell r="F5" t="e">
            <v>#N/A</v>
          </cell>
        </row>
        <row r="6">
          <cell r="B6">
            <v>59</v>
          </cell>
          <cell r="C6">
            <v>89</v>
          </cell>
          <cell r="D6">
            <v>4</v>
          </cell>
          <cell r="E6">
            <v>58</v>
          </cell>
          <cell r="F6" t="e">
            <v>#N/A</v>
          </cell>
        </row>
        <row r="7">
          <cell r="B7">
            <v>93</v>
          </cell>
          <cell r="C7">
            <v>93</v>
          </cell>
          <cell r="D7">
            <v>116</v>
          </cell>
          <cell r="E7">
            <v>58</v>
          </cell>
          <cell r="F7" t="e">
            <v>#N/A</v>
          </cell>
        </row>
        <row r="8">
          <cell r="B8">
            <v>85</v>
          </cell>
          <cell r="C8">
            <v>98</v>
          </cell>
          <cell r="D8">
            <v>164</v>
          </cell>
          <cell r="E8">
            <v>58</v>
          </cell>
          <cell r="F8" t="e">
            <v>#N/A</v>
          </cell>
        </row>
        <row r="9">
          <cell r="B9">
            <v>26</v>
          </cell>
          <cell r="C9">
            <v>86</v>
          </cell>
          <cell r="D9">
            <v>86</v>
          </cell>
          <cell r="E9">
            <v>57</v>
          </cell>
          <cell r="F9" t="e">
            <v>#N/A</v>
          </cell>
        </row>
        <row r="10">
          <cell r="B10">
            <v>39</v>
          </cell>
          <cell r="C10">
            <v>92</v>
          </cell>
          <cell r="D10">
            <v>112</v>
          </cell>
          <cell r="E10">
            <v>57</v>
          </cell>
          <cell r="F10" t="e">
            <v>#N/A</v>
          </cell>
        </row>
        <row r="11">
          <cell r="B11">
            <v>89</v>
          </cell>
          <cell r="C11">
            <v>73</v>
          </cell>
          <cell r="D11">
            <v>138</v>
          </cell>
          <cell r="E11">
            <v>57</v>
          </cell>
          <cell r="F11" t="e">
            <v>#N/A</v>
          </cell>
        </row>
        <row r="12">
          <cell r="B12">
            <v>74</v>
          </cell>
          <cell r="C12">
            <v>83</v>
          </cell>
          <cell r="D12">
            <v>2</v>
          </cell>
          <cell r="E12">
            <v>56</v>
          </cell>
          <cell r="F12" t="e">
            <v>#N/A</v>
          </cell>
        </row>
        <row r="13">
          <cell r="B13">
            <v>55</v>
          </cell>
          <cell r="C13">
            <v>99</v>
          </cell>
          <cell r="D13">
            <v>9</v>
          </cell>
          <cell r="E13">
            <v>56</v>
          </cell>
          <cell r="F13" t="e">
            <v>#N/A</v>
          </cell>
        </row>
        <row r="14">
          <cell r="B14">
            <v>45</v>
          </cell>
          <cell r="C14">
            <v>73</v>
          </cell>
          <cell r="D14">
            <v>16</v>
          </cell>
          <cell r="E14">
            <v>56</v>
          </cell>
          <cell r="F14" t="e">
            <v>#N/A</v>
          </cell>
        </row>
        <row r="15">
          <cell r="B15">
            <v>67</v>
          </cell>
          <cell r="C15">
            <v>99</v>
          </cell>
          <cell r="D15">
            <v>17</v>
          </cell>
          <cell r="E15">
            <v>56</v>
          </cell>
          <cell r="F15" t="e">
            <v>#N/A</v>
          </cell>
        </row>
        <row r="16">
          <cell r="B16">
            <v>91</v>
          </cell>
          <cell r="C16">
            <v>93</v>
          </cell>
          <cell r="D16">
            <v>36</v>
          </cell>
          <cell r="E16">
            <v>56</v>
          </cell>
          <cell r="F16" t="e">
            <v>#N/A</v>
          </cell>
        </row>
        <row r="17">
          <cell r="B17">
            <v>60</v>
          </cell>
          <cell r="C17">
            <v>79</v>
          </cell>
          <cell r="D17">
            <v>42</v>
          </cell>
          <cell r="E17">
            <v>56</v>
          </cell>
          <cell r="F17" t="e">
            <v>#N/A</v>
          </cell>
        </row>
        <row r="18">
          <cell r="B18">
            <v>60</v>
          </cell>
          <cell r="C18">
            <v>73</v>
          </cell>
          <cell r="D18">
            <v>65</v>
          </cell>
          <cell r="E18">
            <v>56</v>
          </cell>
          <cell r="F18" t="e">
            <v>#N/A</v>
          </cell>
        </row>
        <row r="19">
          <cell r="B19">
            <v>98</v>
          </cell>
          <cell r="C19">
            <v>97</v>
          </cell>
          <cell r="D19">
            <v>80</v>
          </cell>
          <cell r="E19">
            <v>56</v>
          </cell>
          <cell r="F19" t="e">
            <v>#N/A</v>
          </cell>
        </row>
        <row r="20">
          <cell r="B20">
            <v>32</v>
          </cell>
          <cell r="C20">
            <v>94</v>
          </cell>
          <cell r="D20">
            <v>109</v>
          </cell>
          <cell r="E20">
            <v>56</v>
          </cell>
          <cell r="F20" t="e">
            <v>#N/A</v>
          </cell>
        </row>
        <row r="21">
          <cell r="B21">
            <v>89</v>
          </cell>
          <cell r="C21">
            <v>88</v>
          </cell>
          <cell r="D21">
            <v>125</v>
          </cell>
          <cell r="E21">
            <v>56</v>
          </cell>
          <cell r="F21" t="e">
            <v>#N/A</v>
          </cell>
        </row>
        <row r="22">
          <cell r="B22">
            <v>98</v>
          </cell>
          <cell r="C22">
            <v>98</v>
          </cell>
          <cell r="D22">
            <v>156</v>
          </cell>
          <cell r="E22">
            <v>56</v>
          </cell>
          <cell r="F22" t="e">
            <v>#N/A</v>
          </cell>
        </row>
        <row r="23">
          <cell r="B23">
            <v>60</v>
          </cell>
          <cell r="C23">
            <v>78</v>
          </cell>
          <cell r="D23">
            <v>227</v>
          </cell>
          <cell r="E23">
            <v>56</v>
          </cell>
          <cell r="F23" t="e">
            <v>#N/A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21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258ABC-12A3-423E-A134-DE10C1DD66CB}">
  <we:reference id="wa200000113" version="1.0.0.0" store="en-001" storeType="OMEX"/>
  <we:alternateReferences>
    <we:reference id="WA20000011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https://www.nasdaq.com/market-activity/stocks/screener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s://t.co/SDx9rI3r1d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https://t.co/SDx9rI3r1d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Z57"/>
  <sheetViews>
    <sheetView tabSelected="1" zoomScale="80" zoomScaleNormal="80" workbookViewId="0">
      <selection activeCell="G35" sqref="G35"/>
    </sheetView>
  </sheetViews>
  <sheetFormatPr baseColWidth="10" defaultRowHeight="14.4"/>
  <cols>
    <col min="7" max="7" width="8.5546875" customWidth="1"/>
    <col min="8" max="8" width="10.6640625" customWidth="1"/>
    <col min="9" max="9" width="24.88671875" customWidth="1"/>
  </cols>
  <sheetData>
    <row r="1" spans="2:26">
      <c r="B1" s="1"/>
      <c r="C1" s="2"/>
      <c r="D1" s="2"/>
      <c r="E1" s="2"/>
      <c r="F1" s="2"/>
      <c r="G1" s="2" t="e" cm="1" vm="1">
        <f t="array" aca="1" ref="G1" ca="1">+'[1]TEMP US'!$B$2:$F$23</f>
        <v>#VALUE!</v>
      </c>
      <c r="H1" s="2"/>
      <c r="I1" s="2"/>
      <c r="J1" s="2"/>
      <c r="K1" s="2"/>
      <c r="L1" s="2"/>
      <c r="M1" s="2"/>
      <c r="N1" s="3"/>
    </row>
    <row r="2" spans="2:26" ht="15" thickBot="1">
      <c r="B2" s="4"/>
      <c r="C2" s="5"/>
      <c r="D2" s="5"/>
      <c r="E2" s="5"/>
      <c r="F2" s="5"/>
      <c r="G2" s="6"/>
      <c r="H2" s="6"/>
      <c r="I2" s="5"/>
      <c r="J2" s="5"/>
      <c r="K2" s="5"/>
      <c r="L2" s="5"/>
      <c r="M2" s="6" t="s">
        <v>1</v>
      </c>
      <c r="N2" s="7"/>
    </row>
    <row r="3" spans="2:26" ht="15" thickBot="1">
      <c r="B3" s="4"/>
      <c r="C3" s="12" t="s">
        <v>12</v>
      </c>
      <c r="D3" s="5"/>
      <c r="E3" s="5"/>
      <c r="F3" s="5"/>
      <c r="G3" s="6"/>
      <c r="H3" s="15" t="s">
        <v>18</v>
      </c>
      <c r="I3" s="6" t="s">
        <v>1</v>
      </c>
      <c r="J3" s="5"/>
      <c r="K3" s="5"/>
      <c r="L3" s="5"/>
      <c r="M3" s="6" t="s">
        <v>2</v>
      </c>
      <c r="N3" s="7"/>
      <c r="P3" s="11"/>
      <c r="Q3" s="11"/>
      <c r="R3" s="11"/>
      <c r="S3" s="11"/>
      <c r="U3" s="30"/>
      <c r="V3" s="30"/>
      <c r="W3" s="30"/>
      <c r="Z3" t="s">
        <v>27</v>
      </c>
    </row>
    <row r="4" spans="2:26" ht="15" thickBot="1">
      <c r="B4" s="4"/>
      <c r="C4" s="5"/>
      <c r="D4" s="5"/>
      <c r="E4" s="5"/>
      <c r="F4" s="5"/>
      <c r="G4" s="6"/>
      <c r="H4" s="15" t="s">
        <v>19</v>
      </c>
      <c r="I4" s="37">
        <v>0.2</v>
      </c>
      <c r="J4" s="5"/>
      <c r="K4" s="5"/>
      <c r="L4" s="5"/>
      <c r="M4" s="6" t="s">
        <v>29</v>
      </c>
      <c r="N4" s="7"/>
      <c r="P4" s="32" t="s">
        <v>5</v>
      </c>
      <c r="Q4" s="11"/>
      <c r="R4" s="11"/>
      <c r="S4" s="11"/>
      <c r="U4" s="30"/>
      <c r="V4" s="30"/>
      <c r="W4" s="30"/>
      <c r="Z4" t="s">
        <v>26</v>
      </c>
    </row>
    <row r="5" spans="2:26">
      <c r="B5" s="4"/>
      <c r="C5" s="5"/>
      <c r="D5" s="5"/>
      <c r="E5" s="5"/>
      <c r="F5" s="5"/>
      <c r="G5" s="6"/>
      <c r="H5" s="6"/>
      <c r="I5" s="5"/>
      <c r="J5" s="5"/>
      <c r="K5" s="5"/>
      <c r="L5" s="5"/>
      <c r="M5" s="6"/>
      <c r="N5" s="7"/>
      <c r="P5" s="11"/>
      <c r="Q5" s="11"/>
      <c r="R5" s="11"/>
      <c r="S5" s="11"/>
      <c r="U5" s="30"/>
      <c r="V5" s="30"/>
      <c r="W5" s="30"/>
      <c r="Z5" t="s">
        <v>28</v>
      </c>
    </row>
    <row r="6" spans="2:26">
      <c r="B6" s="4"/>
      <c r="C6" s="5"/>
      <c r="D6" s="5"/>
      <c r="E6" s="5"/>
      <c r="F6" s="5"/>
      <c r="G6" s="6"/>
      <c r="H6" s="6"/>
      <c r="I6" s="5"/>
      <c r="J6" s="5"/>
      <c r="K6" s="5"/>
      <c r="L6" s="5"/>
      <c r="M6" s="6"/>
      <c r="N6" s="7"/>
      <c r="P6" s="11"/>
      <c r="Q6" s="11"/>
      <c r="R6" s="11"/>
      <c r="S6" s="11"/>
      <c r="U6" s="30"/>
      <c r="V6" s="30"/>
      <c r="W6" s="30"/>
    </row>
    <row r="7" spans="2:26">
      <c r="B7" s="4"/>
      <c r="C7" s="5"/>
      <c r="D7" s="5"/>
      <c r="E7" s="5"/>
      <c r="F7" s="5"/>
      <c r="G7" s="6"/>
      <c r="H7" s="6"/>
      <c r="I7" s="5"/>
      <c r="J7" s="5"/>
      <c r="K7" s="5"/>
      <c r="L7" s="5"/>
      <c r="M7" s="6"/>
      <c r="N7" s="7"/>
      <c r="P7" s="11"/>
      <c r="Q7" s="11"/>
      <c r="R7" s="11"/>
      <c r="S7" s="11"/>
      <c r="U7" s="30"/>
      <c r="V7" s="30"/>
      <c r="W7" s="30"/>
    </row>
    <row r="8" spans="2:26">
      <c r="B8" s="4"/>
      <c r="C8" s="6"/>
      <c r="D8" s="6"/>
      <c r="E8" s="6"/>
      <c r="F8" s="6"/>
      <c r="G8" s="6"/>
      <c r="H8" s="6"/>
      <c r="I8" s="5"/>
      <c r="J8" s="5"/>
      <c r="K8" s="5"/>
      <c r="L8" s="5"/>
      <c r="M8" s="6"/>
      <c r="N8" s="7"/>
      <c r="P8" s="11"/>
      <c r="Q8" s="11"/>
      <c r="R8" s="11"/>
      <c r="S8" s="11"/>
    </row>
    <row r="9" spans="2:26">
      <c r="B9" s="4"/>
      <c r="C9" s="6" t="s">
        <v>3</v>
      </c>
      <c r="D9" s="5"/>
      <c r="E9" s="5"/>
      <c r="F9" s="5"/>
      <c r="G9" s="6" t="s">
        <v>3</v>
      </c>
      <c r="H9" s="6"/>
      <c r="I9" s="5"/>
      <c r="J9" s="5"/>
      <c r="K9" s="5"/>
      <c r="L9" s="5"/>
      <c r="M9" s="6"/>
      <c r="N9" s="7"/>
      <c r="P9" s="11"/>
      <c r="Q9" s="11"/>
      <c r="R9" s="11"/>
      <c r="S9" s="11"/>
    </row>
    <row r="10" spans="2:26">
      <c r="B10" s="4"/>
      <c r="C10" s="5"/>
      <c r="D10" s="5"/>
      <c r="E10" s="5"/>
      <c r="F10" s="5"/>
      <c r="G10" s="6" t="s">
        <v>0</v>
      </c>
      <c r="H10" s="6"/>
      <c r="I10" s="5"/>
      <c r="J10" s="5"/>
      <c r="K10" s="5"/>
      <c r="L10" s="5"/>
      <c r="M10" s="6"/>
      <c r="N10" s="7"/>
      <c r="P10" s="11"/>
      <c r="Q10" s="11"/>
      <c r="R10" s="11"/>
      <c r="S10" s="11"/>
    </row>
    <row r="11" spans="2:26">
      <c r="B11" s="4"/>
      <c r="C11" s="5"/>
      <c r="D11" s="5"/>
      <c r="E11" s="5"/>
      <c r="F11" s="5"/>
      <c r="G11" s="6" t="s">
        <v>4</v>
      </c>
      <c r="H11" s="6"/>
      <c r="I11" s="6"/>
      <c r="J11" s="6"/>
      <c r="K11" s="6"/>
      <c r="L11" s="6"/>
      <c r="M11" s="6"/>
      <c r="N11" s="7"/>
      <c r="P11" s="11"/>
      <c r="Q11" s="11"/>
      <c r="R11" s="11"/>
      <c r="S11" s="11"/>
    </row>
    <row r="12" spans="2:26">
      <c r="B12" s="4"/>
      <c r="C12" s="5"/>
      <c r="D12" s="5"/>
      <c r="E12" s="5"/>
      <c r="F12" s="5"/>
      <c r="G12" s="6" t="s">
        <v>5</v>
      </c>
      <c r="H12" s="6"/>
      <c r="I12" s="34"/>
      <c r="J12" s="34"/>
      <c r="K12" s="34"/>
      <c r="L12" s="34"/>
      <c r="M12" s="6"/>
      <c r="N12" s="7"/>
    </row>
    <row r="13" spans="2:26">
      <c r="B13" s="4"/>
      <c r="C13" s="5"/>
      <c r="D13" s="5"/>
      <c r="E13" s="5"/>
      <c r="F13" s="5"/>
      <c r="G13" s="6" t="s">
        <v>8</v>
      </c>
      <c r="H13" s="6"/>
      <c r="I13" s="6" t="s">
        <v>14</v>
      </c>
      <c r="J13" s="34"/>
      <c r="K13" s="34"/>
      <c r="L13" s="34"/>
      <c r="M13" s="6" t="s">
        <v>14</v>
      </c>
      <c r="N13" s="7"/>
    </row>
    <row r="14" spans="2:26">
      <c r="B14" s="4"/>
      <c r="C14" s="5"/>
      <c r="D14" s="5"/>
      <c r="E14" s="5"/>
      <c r="F14" s="5"/>
      <c r="G14" s="6" t="s">
        <v>6</v>
      </c>
      <c r="H14" s="6"/>
      <c r="I14" s="35"/>
      <c r="J14" s="34"/>
      <c r="K14" s="34"/>
      <c r="L14" s="34"/>
      <c r="M14" s="6" t="s">
        <v>15</v>
      </c>
      <c r="N14" s="7"/>
      <c r="P14" s="11"/>
      <c r="Q14" s="11"/>
      <c r="R14" s="11"/>
      <c r="S14" s="11"/>
    </row>
    <row r="15" spans="2:26">
      <c r="B15" s="4"/>
      <c r="C15" s="6"/>
      <c r="D15" s="6"/>
      <c r="E15" s="6"/>
      <c r="F15" s="6"/>
      <c r="G15" s="6" t="s">
        <v>7</v>
      </c>
      <c r="H15" s="6"/>
      <c r="I15" s="34"/>
      <c r="J15" s="34"/>
      <c r="K15" s="34"/>
      <c r="L15" s="34"/>
      <c r="M15" s="6" t="s">
        <v>20</v>
      </c>
      <c r="N15" s="7"/>
      <c r="P15" s="6" t="s">
        <v>1</v>
      </c>
      <c r="Q15" s="11"/>
      <c r="R15" s="11"/>
      <c r="S15" s="11"/>
    </row>
    <row r="16" spans="2:26">
      <c r="B16" s="4"/>
      <c r="C16" s="6"/>
      <c r="D16" s="6"/>
      <c r="E16" s="6"/>
      <c r="F16" s="6"/>
      <c r="G16" s="6" t="s">
        <v>9</v>
      </c>
      <c r="H16" s="6"/>
      <c r="I16" s="34"/>
      <c r="J16" s="34"/>
      <c r="K16" s="34"/>
      <c r="L16" s="34"/>
      <c r="M16" s="6"/>
      <c r="N16" s="7"/>
      <c r="P16" s="6">
        <v>400</v>
      </c>
      <c r="Q16" s="11"/>
      <c r="R16" s="11"/>
      <c r="S16" s="11"/>
    </row>
    <row r="17" spans="2:19">
      <c r="B17" s="4"/>
      <c r="C17" s="6"/>
      <c r="D17" s="6"/>
      <c r="E17" s="6"/>
      <c r="F17" s="6"/>
      <c r="G17" s="6" t="s">
        <v>10</v>
      </c>
      <c r="H17" s="6"/>
      <c r="I17" s="34"/>
      <c r="J17" s="34"/>
      <c r="K17" s="34"/>
      <c r="L17" s="34"/>
      <c r="M17" s="6"/>
      <c r="N17" s="7"/>
      <c r="P17" s="11"/>
      <c r="Q17" s="11"/>
      <c r="R17" s="11"/>
      <c r="S17" s="11"/>
    </row>
    <row r="18" spans="2:19">
      <c r="B18" s="14" t="s">
        <v>16</v>
      </c>
      <c r="C18" s="6" t="s">
        <v>2</v>
      </c>
      <c r="D18" s="5"/>
      <c r="E18" s="5"/>
      <c r="F18" s="5"/>
      <c r="G18" s="6" t="s">
        <v>11</v>
      </c>
      <c r="H18" s="6"/>
      <c r="I18" s="34"/>
      <c r="J18" s="34"/>
      <c r="K18" s="34"/>
      <c r="L18" s="34"/>
      <c r="M18" s="6"/>
      <c r="N18" s="7"/>
      <c r="P18" s="11"/>
      <c r="Q18" s="11"/>
      <c r="R18" s="11"/>
      <c r="S18" s="11"/>
    </row>
    <row r="19" spans="2:19">
      <c r="B19" s="14" t="s">
        <v>17</v>
      </c>
      <c r="C19" s="6"/>
      <c r="D19" s="5"/>
      <c r="E19" s="5"/>
      <c r="F19" s="5"/>
      <c r="G19" s="6" t="s">
        <v>12</v>
      </c>
      <c r="H19" s="6"/>
      <c r="I19" s="34"/>
      <c r="J19" s="34"/>
      <c r="K19" s="34"/>
      <c r="L19" s="34"/>
      <c r="M19" s="6"/>
      <c r="N19" s="7"/>
      <c r="P19" s="11"/>
      <c r="Q19" s="11"/>
      <c r="R19" s="11"/>
      <c r="S19" s="11"/>
    </row>
    <row r="20" spans="2:19">
      <c r="B20" s="4"/>
      <c r="C20" s="5"/>
      <c r="D20" s="5"/>
      <c r="E20" s="5"/>
      <c r="F20" s="5"/>
      <c r="G20" s="6" t="s">
        <v>13</v>
      </c>
      <c r="H20" s="6"/>
      <c r="I20" s="34"/>
      <c r="J20" s="34"/>
      <c r="K20" s="34"/>
      <c r="L20" s="34"/>
      <c r="M20" s="6"/>
      <c r="N20" s="36"/>
      <c r="P20" s="11"/>
      <c r="Q20" s="11"/>
      <c r="R20" s="11"/>
      <c r="S20" s="11"/>
    </row>
    <row r="21" spans="2:19">
      <c r="B21" s="4"/>
      <c r="C21" s="5"/>
      <c r="D21" s="5"/>
      <c r="E21" s="5"/>
      <c r="F21" s="5"/>
      <c r="G21" s="6"/>
      <c r="H21" s="6"/>
      <c r="I21" s="6"/>
      <c r="J21" s="6"/>
      <c r="K21" s="6"/>
      <c r="L21" s="6"/>
      <c r="M21" s="6"/>
      <c r="N21" s="7"/>
      <c r="P21" s="11"/>
      <c r="Q21" s="11"/>
      <c r="R21" s="11"/>
      <c r="S21" s="11"/>
    </row>
    <row r="22" spans="2:19">
      <c r="B22" s="4"/>
      <c r="C22" s="5"/>
      <c r="D22" s="5"/>
      <c r="E22" s="5"/>
      <c r="F22" s="5"/>
      <c r="G22" s="6"/>
      <c r="H22" s="6"/>
      <c r="I22" s="6"/>
      <c r="J22" s="6"/>
      <c r="K22" s="6"/>
      <c r="L22" s="6"/>
      <c r="M22" s="6"/>
      <c r="N22" s="7"/>
      <c r="P22" s="11"/>
      <c r="Q22" s="11"/>
      <c r="R22" s="11"/>
      <c r="S22" s="11"/>
    </row>
    <row r="23" spans="2:19">
      <c r="B23" s="4"/>
      <c r="C23" s="5"/>
      <c r="D23" s="5"/>
      <c r="E23" s="5"/>
      <c r="F23" s="5"/>
      <c r="G23" s="6"/>
      <c r="H23" s="6"/>
      <c r="I23" s="13"/>
      <c r="J23" s="13"/>
      <c r="K23" s="13"/>
      <c r="L23" s="13"/>
      <c r="M23" s="6"/>
      <c r="N23" s="7"/>
      <c r="P23" s="6" t="s">
        <v>1</v>
      </c>
    </row>
    <row r="24" spans="2:19">
      <c r="B24" s="4"/>
      <c r="C24" s="6"/>
      <c r="D24" s="6"/>
      <c r="E24" s="6"/>
      <c r="F24" s="6"/>
      <c r="G24" s="6"/>
      <c r="H24" s="6"/>
      <c r="I24" s="6" t="s">
        <v>14</v>
      </c>
      <c r="J24" s="13"/>
      <c r="K24" s="13"/>
      <c r="L24" s="13"/>
      <c r="M24" s="6" t="s">
        <v>14</v>
      </c>
      <c r="N24" s="7"/>
      <c r="O24" t="s">
        <v>23</v>
      </c>
      <c r="P24" s="6" t="s">
        <v>2</v>
      </c>
    </row>
    <row r="25" spans="2:19">
      <c r="B25" s="4"/>
      <c r="C25" s="6"/>
      <c r="D25" s="6"/>
      <c r="E25" s="6"/>
      <c r="F25" s="6"/>
      <c r="G25" s="6"/>
      <c r="H25" s="6"/>
      <c r="I25" s="13"/>
      <c r="J25" s="13"/>
      <c r="K25" s="13"/>
      <c r="L25" s="13"/>
      <c r="M25" s="6" t="s">
        <v>15</v>
      </c>
      <c r="N25" s="7"/>
    </row>
    <row r="26" spans="2:19">
      <c r="B26" s="4"/>
      <c r="C26" s="13"/>
      <c r="D26" s="13"/>
      <c r="E26" s="13"/>
      <c r="F26" s="6"/>
      <c r="H26" s="6"/>
      <c r="I26" s="13"/>
      <c r="J26" s="13"/>
      <c r="K26" s="13"/>
      <c r="L26" s="13"/>
      <c r="M26" s="6"/>
      <c r="N26" s="7"/>
    </row>
    <row r="27" spans="2:19">
      <c r="B27" s="4"/>
      <c r="C27" s="13"/>
      <c r="D27" s="13"/>
      <c r="E27" s="13"/>
      <c r="F27" s="6"/>
      <c r="G27" s="6"/>
      <c r="H27" s="6"/>
      <c r="I27" s="13"/>
      <c r="J27" s="13"/>
      <c r="K27" s="13"/>
      <c r="L27" s="13"/>
      <c r="M27" s="6"/>
      <c r="N27" s="7"/>
      <c r="P27" s="17" t="s">
        <v>22</v>
      </c>
    </row>
    <row r="28" spans="2:19">
      <c r="B28" s="4"/>
      <c r="C28" s="13"/>
      <c r="D28" s="13"/>
      <c r="E28" s="13"/>
      <c r="F28" s="6"/>
      <c r="G28" s="6"/>
      <c r="H28" s="6"/>
      <c r="I28" s="13"/>
      <c r="J28" s="13"/>
      <c r="K28" s="13"/>
      <c r="L28" s="13"/>
      <c r="M28" s="6"/>
      <c r="N28" s="7"/>
    </row>
    <row r="29" spans="2:19">
      <c r="B29" s="4"/>
      <c r="C29" s="13"/>
      <c r="D29" s="13"/>
      <c r="E29" s="13"/>
      <c r="F29" s="6"/>
      <c r="G29" s="6"/>
      <c r="H29" s="6"/>
      <c r="I29" s="13"/>
      <c r="J29" s="13"/>
      <c r="K29" s="13"/>
      <c r="L29" s="13"/>
      <c r="M29" s="6"/>
      <c r="N29" s="7"/>
      <c r="P29" s="17" t="s">
        <v>21</v>
      </c>
    </row>
    <row r="30" spans="2:19">
      <c r="B30" s="4"/>
      <c r="C30" s="13"/>
      <c r="D30" s="13"/>
      <c r="E30" s="13"/>
      <c r="F30" s="6"/>
      <c r="G30" s="6"/>
      <c r="H30" s="6"/>
      <c r="I30" s="13"/>
      <c r="J30" s="13"/>
      <c r="K30" s="13"/>
      <c r="L30" s="13"/>
      <c r="M30" s="6"/>
      <c r="N30" s="7"/>
    </row>
    <row r="31" spans="2:19">
      <c r="B31" s="4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7"/>
    </row>
    <row r="32" spans="2:19">
      <c r="B32" s="4"/>
      <c r="C32" s="6"/>
      <c r="D32" s="6"/>
      <c r="E32" s="6"/>
      <c r="F32" s="6"/>
      <c r="G32" s="6"/>
      <c r="H32" s="6"/>
      <c r="I32" s="6"/>
      <c r="J32" s="6"/>
      <c r="K32" s="6"/>
      <c r="M32" s="6"/>
      <c r="N32" s="7"/>
      <c r="P32" t="s">
        <v>24</v>
      </c>
    </row>
    <row r="33" spans="2:17">
      <c r="B33" s="4"/>
      <c r="C33" s="31"/>
      <c r="D33" s="31"/>
      <c r="E33" s="31"/>
      <c r="F33" s="6"/>
      <c r="G33" s="6"/>
      <c r="H33" s="6"/>
      <c r="I33" s="6"/>
      <c r="J33" s="6"/>
      <c r="K33" s="6"/>
      <c r="L33" s="6"/>
      <c r="M33" s="6"/>
      <c r="N33" s="7"/>
      <c r="P33" s="17" t="s">
        <v>25</v>
      </c>
    </row>
    <row r="34" spans="2:17">
      <c r="B34" s="4"/>
      <c r="C34" s="31"/>
      <c r="D34" s="31"/>
      <c r="E34" s="31"/>
      <c r="F34" s="6"/>
      <c r="G34" s="6"/>
      <c r="H34" s="6"/>
      <c r="I34" s="32" t="s">
        <v>261</v>
      </c>
      <c r="J34" s="31"/>
      <c r="K34" s="31"/>
      <c r="L34" s="31"/>
      <c r="M34" s="6" t="s">
        <v>14</v>
      </c>
      <c r="N34" s="7"/>
    </row>
    <row r="35" spans="2:17">
      <c r="B35" s="4"/>
      <c r="C35" s="31"/>
      <c r="D35" s="31"/>
      <c r="E35" s="31"/>
      <c r="F35" s="6"/>
      <c r="G35" s="6"/>
      <c r="H35" s="6"/>
      <c r="I35" s="31"/>
      <c r="J35" s="31"/>
      <c r="K35" s="31"/>
      <c r="L35" s="31"/>
      <c r="M35" s="6" t="s">
        <v>15</v>
      </c>
      <c r="N35" s="7"/>
    </row>
    <row r="36" spans="2:17">
      <c r="B36" s="4"/>
      <c r="C36" s="31"/>
      <c r="D36" s="31"/>
      <c r="E36" s="31"/>
      <c r="F36" s="6"/>
      <c r="G36" s="6"/>
      <c r="H36" s="6"/>
      <c r="I36" s="31"/>
      <c r="J36" s="31"/>
      <c r="K36" s="31"/>
      <c r="L36" s="31"/>
      <c r="M36" s="6" t="s">
        <v>20</v>
      </c>
      <c r="N36" s="7"/>
    </row>
    <row r="37" spans="2:17">
      <c r="B37" s="4"/>
      <c r="C37" s="31"/>
      <c r="D37" s="31"/>
      <c r="E37" s="31"/>
      <c r="F37" s="6"/>
      <c r="G37" s="6"/>
      <c r="H37" s="6"/>
      <c r="I37" s="31"/>
      <c r="J37" s="31"/>
      <c r="K37" s="31"/>
      <c r="L37" s="31"/>
      <c r="M37" s="32" t="s">
        <v>1</v>
      </c>
      <c r="N37" s="7"/>
    </row>
    <row r="38" spans="2:17">
      <c r="B38" s="4"/>
      <c r="C38" s="6"/>
      <c r="D38" s="6"/>
      <c r="E38" s="6"/>
      <c r="F38" s="6"/>
      <c r="G38" s="6"/>
      <c r="H38" s="6"/>
      <c r="I38" s="31"/>
      <c r="J38" s="31"/>
      <c r="K38" s="31"/>
      <c r="L38" s="31"/>
      <c r="M38" s="32" t="s">
        <v>2</v>
      </c>
      <c r="N38" s="7"/>
      <c r="Q38">
        <f>74.86/70.7-1</f>
        <v>5.8840169731258829E-2</v>
      </c>
    </row>
    <row r="39" spans="2:17">
      <c r="B39" s="4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7"/>
      <c r="P39" s="33"/>
    </row>
    <row r="40" spans="2:17">
      <c r="B40" s="4"/>
      <c r="C40" s="13"/>
      <c r="D40" s="13"/>
      <c r="E40" s="6"/>
      <c r="F40" s="6"/>
      <c r="G40" s="6"/>
      <c r="H40" s="6"/>
      <c r="I40" s="6"/>
      <c r="J40" s="6"/>
      <c r="K40" s="6"/>
      <c r="L40" s="6"/>
      <c r="M40" s="6"/>
      <c r="N40" s="7"/>
    </row>
    <row r="41" spans="2:17">
      <c r="B41" s="4"/>
      <c r="C41" s="13"/>
      <c r="D41" s="13"/>
      <c r="E41" s="6"/>
      <c r="F41" s="6"/>
      <c r="G41" s="6"/>
      <c r="H41" s="6"/>
      <c r="I41" s="6" t="s">
        <v>8</v>
      </c>
      <c r="J41" s="31"/>
      <c r="K41" s="31"/>
      <c r="L41" s="31"/>
      <c r="M41" s="6" t="s">
        <v>14</v>
      </c>
      <c r="N41" s="7"/>
    </row>
    <row r="42" spans="2:17">
      <c r="B42" s="4"/>
      <c r="C42" s="13"/>
      <c r="D42" s="13"/>
      <c r="E42" s="6"/>
      <c r="F42" s="6"/>
      <c r="G42" s="6"/>
      <c r="H42" s="6"/>
      <c r="I42" s="31"/>
      <c r="J42" s="31"/>
      <c r="K42" s="31"/>
      <c r="L42" s="31"/>
      <c r="M42" s="6" t="s">
        <v>15</v>
      </c>
      <c r="N42" s="7"/>
      <c r="Q42">
        <f>65*4.1</f>
        <v>266.5</v>
      </c>
    </row>
    <row r="43" spans="2:17">
      <c r="B43" s="4"/>
      <c r="C43" s="13"/>
      <c r="D43" s="13"/>
      <c r="E43" s="6"/>
      <c r="F43" s="6"/>
      <c r="G43" s="6"/>
      <c r="H43" s="6"/>
      <c r="I43" s="31"/>
      <c r="J43" s="31"/>
      <c r="K43" s="31"/>
      <c r="L43" s="31"/>
      <c r="M43" s="6" t="s">
        <v>3</v>
      </c>
      <c r="N43" s="7"/>
    </row>
    <row r="44" spans="2:17">
      <c r="B44" s="4"/>
      <c r="C44" s="6"/>
      <c r="D44" s="6"/>
      <c r="E44" s="6"/>
      <c r="F44" s="6"/>
      <c r="G44" s="6"/>
      <c r="H44" s="6"/>
      <c r="I44" s="31"/>
      <c r="J44" s="31"/>
      <c r="K44" s="31"/>
      <c r="L44" s="31"/>
      <c r="M44" s="6" t="s">
        <v>0</v>
      </c>
      <c r="N44" s="7"/>
    </row>
    <row r="45" spans="2:17">
      <c r="B45" s="4"/>
      <c r="C45" s="6"/>
      <c r="D45" s="6"/>
      <c r="E45" s="6"/>
      <c r="F45" s="6"/>
      <c r="G45" s="6"/>
      <c r="H45" s="6"/>
      <c r="I45" s="31"/>
      <c r="J45" s="31"/>
      <c r="K45" s="31"/>
      <c r="L45" s="31"/>
      <c r="M45" s="6" t="s">
        <v>4</v>
      </c>
      <c r="N45" s="7"/>
    </row>
    <row r="46" spans="2:17">
      <c r="B46" s="4"/>
      <c r="C46" s="6"/>
      <c r="D46" s="6"/>
      <c r="E46" s="6"/>
      <c r="F46" s="6"/>
      <c r="G46" s="6"/>
      <c r="H46" s="6"/>
      <c r="I46" s="31"/>
      <c r="J46" s="31"/>
      <c r="K46" s="31"/>
      <c r="L46" s="31"/>
      <c r="M46" s="6" t="s">
        <v>5</v>
      </c>
      <c r="N46" s="7"/>
    </row>
    <row r="47" spans="2:17">
      <c r="B47" s="4"/>
      <c r="C47" s="6"/>
      <c r="D47" s="6"/>
      <c r="E47" s="6"/>
      <c r="F47" s="6"/>
      <c r="G47" s="6"/>
      <c r="H47" s="6"/>
      <c r="I47" s="6"/>
      <c r="J47" s="6"/>
      <c r="K47" s="6"/>
      <c r="L47" s="6"/>
      <c r="M47" s="6" t="s">
        <v>8</v>
      </c>
      <c r="N47" s="7"/>
    </row>
    <row r="48" spans="2:17">
      <c r="B48" s="4"/>
      <c r="C48" s="6"/>
      <c r="D48" s="6"/>
      <c r="E48" s="6"/>
      <c r="F48" s="6"/>
      <c r="G48" s="6"/>
      <c r="H48" s="6"/>
      <c r="I48" s="6"/>
      <c r="J48" s="6"/>
      <c r="K48" s="6"/>
      <c r="L48" s="6"/>
      <c r="M48" s="6" t="s">
        <v>6</v>
      </c>
      <c r="N48" s="7"/>
    </row>
    <row r="49" spans="2:14">
      <c r="B49" s="4"/>
      <c r="C49" s="6"/>
      <c r="D49" s="6"/>
      <c r="E49" s="6"/>
      <c r="F49" s="6"/>
      <c r="G49" s="6"/>
      <c r="H49" s="6"/>
      <c r="I49" s="6"/>
      <c r="J49" s="6"/>
      <c r="K49" s="6"/>
      <c r="L49" s="6"/>
      <c r="M49" s="6" t="s">
        <v>7</v>
      </c>
      <c r="N49" s="7"/>
    </row>
    <row r="50" spans="2:14">
      <c r="B50" s="4"/>
      <c r="C50" s="6"/>
      <c r="D50" s="6"/>
      <c r="E50" s="6"/>
      <c r="F50" s="6"/>
      <c r="G50" s="6"/>
      <c r="H50" s="6"/>
      <c r="I50" s="6"/>
      <c r="J50" s="6"/>
      <c r="K50" s="6"/>
      <c r="L50" s="6"/>
      <c r="M50" s="6" t="s">
        <v>9</v>
      </c>
      <c r="N50" s="7"/>
    </row>
    <row r="51" spans="2:14" ht="15" thickBot="1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6" t="s">
        <v>10</v>
      </c>
      <c r="N51" s="10"/>
    </row>
    <row r="52" spans="2:14">
      <c r="M52" s="6" t="s">
        <v>11</v>
      </c>
    </row>
    <row r="53" spans="2:14">
      <c r="M53" s="6" t="s">
        <v>12</v>
      </c>
    </row>
    <row r="54" spans="2:14">
      <c r="E54">
        <f>70+53</f>
        <v>123</v>
      </c>
      <c r="M54" s="6" t="s">
        <v>13</v>
      </c>
    </row>
    <row r="56" spans="2:14">
      <c r="E56">
        <f>53/E54</f>
        <v>0.43089430894308944</v>
      </c>
      <c r="F56">
        <f>70/E54</f>
        <v>0.56910569105691056</v>
      </c>
    </row>
    <row r="57" spans="2:14">
      <c r="F57">
        <f>F56/E56</f>
        <v>1.320754716981132</v>
      </c>
    </row>
  </sheetData>
  <hyperlinks>
    <hyperlink ref="P29" r:id="rId1" display="https://t.co/SDx9rI3r1d" xr:uid="{61B7E006-CC03-40A7-BD69-132912C8800A}"/>
    <hyperlink ref="P27" r:id="rId2" display="https://t.co/SDx9rI3r1d" xr:uid="{8BBEEA44-B90F-4C37-983F-822E95A6E9DC}"/>
    <hyperlink ref="P33" r:id="rId3" display="https://www.nasdaq.com/market-activity/stocks/screener" xr:uid="{F2FD4AA4-04C0-475F-84E7-58D6E8D8AACA}"/>
  </hyperlinks>
  <pageMargins left="0.7" right="0.7" top="0.78740157499999996" bottom="0.78740157499999996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Data" altText="GetData">
                <anchor moveWithCells="1" sizeWithCells="1">
                  <from>
                    <xdr:col>3</xdr:col>
                    <xdr:colOff>137160</xdr:colOff>
                    <xdr:row>1</xdr:row>
                    <xdr:rowOff>60960</xdr:rowOff>
                  </from>
                  <to>
                    <xdr:col>5</xdr:col>
                    <xdr:colOff>327660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MomentumohneDataBase" altText="MomentumOhneDataBase">
                <anchor moveWithCells="1" sizeWithCells="1">
                  <from>
                    <xdr:col>3</xdr:col>
                    <xdr:colOff>175260</xdr:colOff>
                    <xdr:row>8</xdr:row>
                    <xdr:rowOff>68580</xdr:rowOff>
                  </from>
                  <to>
                    <xdr:col>5</xdr:col>
                    <xdr:colOff>746760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MomentumMitDataBase" altText="MomentumOhneDataBase">
                <anchor moveWithCells="1" sizeWithCells="1">
                  <from>
                    <xdr:col>9</xdr:col>
                    <xdr:colOff>22860</xdr:colOff>
                    <xdr:row>1</xdr:row>
                    <xdr:rowOff>38100</xdr:rowOff>
                  </from>
                  <to>
                    <xdr:col>11</xdr:col>
                    <xdr:colOff>213360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omentumMitDataBase_Portfolio" altText="MomentumOhneDataBase">
                <anchor moveWithCells="1" sizeWithCells="1">
                  <from>
                    <xdr:col>9</xdr:col>
                    <xdr:colOff>22860</xdr:colOff>
                    <xdr:row>11</xdr:row>
                    <xdr:rowOff>76200</xdr:rowOff>
                  </from>
                  <to>
                    <xdr:col>11</xdr:col>
                    <xdr:colOff>213360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NurMomentumohneDataBase" altText="Nur Momentum  OHNE Database">
                <anchor moveWithCells="1" sizeWithCells="1">
                  <from>
                    <xdr:col>3</xdr:col>
                    <xdr:colOff>175260</xdr:colOff>
                    <xdr:row>17</xdr:row>
                    <xdr:rowOff>45720</xdr:rowOff>
                  </from>
                  <to>
                    <xdr:col>5</xdr:col>
                    <xdr:colOff>327660</xdr:colOff>
                    <xdr:row>22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ovesRiskAdjusted" altText="Nur Momentum  OHNE Database">
                <anchor moveWithCells="1" sizeWithCells="1">
                  <from>
                    <xdr:col>16</xdr:col>
                    <xdr:colOff>99060</xdr:colOff>
                    <xdr:row>3</xdr:row>
                    <xdr:rowOff>7620</xdr:rowOff>
                  </from>
                  <to>
                    <xdr:col>18</xdr:col>
                    <xdr:colOff>251460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Breadth" altText="Nur Momentum  OHNE Database">
                <anchor moveWithCells="1" sizeWithCells="1">
                  <from>
                    <xdr:col>16</xdr:col>
                    <xdr:colOff>99060</xdr:colOff>
                    <xdr:row>14</xdr:row>
                    <xdr:rowOff>7620</xdr:rowOff>
                  </from>
                  <to>
                    <xdr:col>18</xdr:col>
                    <xdr:colOff>251460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NeueMutterliste" altText="GetData">
                <anchor moveWithCells="1" sizeWithCells="1">
                  <from>
                    <xdr:col>9</xdr:col>
                    <xdr:colOff>121920</xdr:colOff>
                    <xdr:row>22</xdr:row>
                    <xdr:rowOff>114300</xdr:rowOff>
                  </from>
                  <to>
                    <xdr:col>11</xdr:col>
                    <xdr:colOff>541020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PositionsUpdateNachClenowAdmin">
                <anchor moveWithCells="1" sizeWithCells="1">
                  <from>
                    <xdr:col>2</xdr:col>
                    <xdr:colOff>502920</xdr:colOff>
                    <xdr:row>26</xdr:row>
                    <xdr:rowOff>45720</xdr:rowOff>
                  </from>
                  <to>
                    <xdr:col>4</xdr:col>
                    <xdr:colOff>289560</xdr:colOff>
                    <xdr:row>29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ransactionsUpdateNachClenowAdmin">
                <anchor moveWithCells="1" sizeWithCells="1">
                  <from>
                    <xdr:col>2</xdr:col>
                    <xdr:colOff>495300</xdr:colOff>
                    <xdr:row>32</xdr:row>
                    <xdr:rowOff>144780</xdr:rowOff>
                  </from>
                  <to>
                    <xdr:col>4</xdr:col>
                    <xdr:colOff>274320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KopiereDF2Excel" altText="GetData">
                <anchor moveWithCells="1" sizeWithCells="1">
                  <from>
                    <xdr:col>9</xdr:col>
                    <xdr:colOff>297180</xdr:colOff>
                    <xdr:row>33</xdr:row>
                    <xdr:rowOff>60960</xdr:rowOff>
                  </from>
                  <to>
                    <xdr:col>11</xdr:col>
                    <xdr:colOff>647700</xdr:colOff>
                    <xdr:row>37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StarteExcel">
                <anchor moveWithCells="1" sizeWithCells="1">
                  <from>
                    <xdr:col>2</xdr:col>
                    <xdr:colOff>114300</xdr:colOff>
                    <xdr:row>39</xdr:row>
                    <xdr:rowOff>38100</xdr:rowOff>
                  </from>
                  <to>
                    <xdr:col>3</xdr:col>
                    <xdr:colOff>678180</xdr:colOff>
                    <xdr:row>42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NewpositionsMutterliste" altText="GetData">
                <anchor moveWithCells="1" sizeWithCells="1">
                  <from>
                    <xdr:col>9</xdr:col>
                    <xdr:colOff>350520</xdr:colOff>
                    <xdr:row>40</xdr:row>
                    <xdr:rowOff>160020</xdr:rowOff>
                  </from>
                  <to>
                    <xdr:col>11</xdr:col>
                    <xdr:colOff>708660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ClenowAlleETF">
                <anchor moveWithCells="1" sizeWithCells="1">
                  <from>
                    <xdr:col>2</xdr:col>
                    <xdr:colOff>60960</xdr:colOff>
                    <xdr:row>10</xdr:row>
                    <xdr:rowOff>68580</xdr:rowOff>
                  </from>
                  <to>
                    <xdr:col>3</xdr:col>
                    <xdr:colOff>152400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19FE-2A2E-4908-8757-2A15B37841FD}">
  <sheetPr codeName="Tabelle3"/>
  <dimension ref="C3:M121"/>
  <sheetViews>
    <sheetView workbookViewId="0">
      <selection activeCell="C3" sqref="C3:M121"/>
    </sheetView>
  </sheetViews>
  <sheetFormatPr baseColWidth="10" defaultRowHeight="14.4"/>
  <sheetData>
    <row r="3" spans="3:13">
      <c r="D3" t="s">
        <v>38</v>
      </c>
      <c r="E3" t="s">
        <v>39</v>
      </c>
      <c r="F3" t="s">
        <v>40</v>
      </c>
      <c r="G3" t="s">
        <v>31</v>
      </c>
      <c r="H3" t="s">
        <v>41</v>
      </c>
      <c r="I3" t="s">
        <v>42</v>
      </c>
      <c r="J3" t="s">
        <v>184</v>
      </c>
      <c r="K3" t="s">
        <v>185</v>
      </c>
      <c r="L3" t="s">
        <v>186</v>
      </c>
      <c r="M3" t="s">
        <v>187</v>
      </c>
    </row>
    <row r="4" spans="3:13">
      <c r="C4">
        <v>1</v>
      </c>
      <c r="D4" t="s">
        <v>188</v>
      </c>
      <c r="E4" t="s">
        <v>189</v>
      </c>
      <c r="F4">
        <v>-20</v>
      </c>
      <c r="G4">
        <v>133.55000000000001</v>
      </c>
      <c r="H4">
        <v>-2.6709999999999998</v>
      </c>
      <c r="I4" t="s">
        <v>190</v>
      </c>
      <c r="J4">
        <v>-87.671000000000006</v>
      </c>
      <c r="K4">
        <v>-21</v>
      </c>
      <c r="L4">
        <v>137.93355</v>
      </c>
      <c r="M4">
        <v>-3.1780157909370201</v>
      </c>
    </row>
    <row r="5" spans="3:13">
      <c r="C5">
        <v>4</v>
      </c>
      <c r="D5" t="s">
        <v>191</v>
      </c>
      <c r="E5" t="s">
        <v>192</v>
      </c>
      <c r="F5">
        <v>-70</v>
      </c>
      <c r="G5">
        <v>12.36</v>
      </c>
      <c r="H5">
        <v>-2</v>
      </c>
      <c r="I5" t="s">
        <v>190</v>
      </c>
      <c r="J5">
        <v>-29.34</v>
      </c>
      <c r="K5">
        <v>11.2</v>
      </c>
      <c r="L5">
        <v>12.7791428571428</v>
      </c>
      <c r="M5">
        <v>-3.2798980481588198</v>
      </c>
    </row>
    <row r="6" spans="3:13">
      <c r="C6">
        <v>7</v>
      </c>
      <c r="D6" t="s">
        <v>193</v>
      </c>
      <c r="E6" t="s">
        <v>194</v>
      </c>
      <c r="F6">
        <v>-80</v>
      </c>
      <c r="G6">
        <v>17.555</v>
      </c>
      <c r="H6">
        <v>-2</v>
      </c>
      <c r="I6" t="s">
        <v>190</v>
      </c>
      <c r="J6">
        <v>125.2</v>
      </c>
      <c r="K6">
        <v>10.8</v>
      </c>
      <c r="L6">
        <v>15.99</v>
      </c>
      <c r="M6">
        <v>9.7873671044402801</v>
      </c>
    </row>
    <row r="7" spans="3:13">
      <c r="C7">
        <v>9</v>
      </c>
      <c r="D7" t="s">
        <v>195</v>
      </c>
      <c r="E7" t="s">
        <v>194</v>
      </c>
      <c r="F7">
        <v>-150</v>
      </c>
      <c r="G7">
        <v>22.94</v>
      </c>
      <c r="H7">
        <v>-3.4409999999999998</v>
      </c>
      <c r="I7" t="s">
        <v>190</v>
      </c>
      <c r="J7">
        <v>584.30899999999997</v>
      </c>
      <c r="K7">
        <v>-187.5</v>
      </c>
      <c r="L7">
        <v>19.044606666666599</v>
      </c>
      <c r="M7">
        <v>20.4540498079771</v>
      </c>
    </row>
    <row r="8" spans="3:13">
      <c r="C8">
        <v>12</v>
      </c>
      <c r="D8" t="s">
        <v>196</v>
      </c>
      <c r="E8" t="s">
        <v>197</v>
      </c>
      <c r="F8">
        <v>-45</v>
      </c>
      <c r="G8">
        <v>21</v>
      </c>
      <c r="H8">
        <v>-2</v>
      </c>
      <c r="I8" t="s">
        <v>190</v>
      </c>
      <c r="J8">
        <v>-53.95</v>
      </c>
      <c r="K8">
        <v>-18.899999999999999</v>
      </c>
      <c r="L8">
        <v>22.198888888888799</v>
      </c>
      <c r="M8">
        <v>-5.4006707042394497</v>
      </c>
    </row>
    <row r="9" spans="3:13">
      <c r="C9">
        <v>15</v>
      </c>
      <c r="D9" t="s">
        <v>198</v>
      </c>
      <c r="E9" t="s">
        <v>199</v>
      </c>
      <c r="F9">
        <v>-9</v>
      </c>
      <c r="G9">
        <v>79</v>
      </c>
      <c r="H9">
        <v>-2</v>
      </c>
      <c r="I9" t="s">
        <v>190</v>
      </c>
      <c r="J9">
        <v>-26.7</v>
      </c>
      <c r="K9">
        <v>-16.2</v>
      </c>
      <c r="L9">
        <v>81.966666666666598</v>
      </c>
      <c r="M9">
        <v>-3.6193574623830802</v>
      </c>
    </row>
    <row r="10" spans="3:13">
      <c r="C10">
        <v>18</v>
      </c>
      <c r="D10" t="s">
        <v>200</v>
      </c>
      <c r="E10" t="s">
        <v>201</v>
      </c>
      <c r="F10">
        <v>-8</v>
      </c>
      <c r="G10">
        <v>154.9</v>
      </c>
      <c r="H10">
        <v>-2</v>
      </c>
      <c r="I10" t="s">
        <v>190</v>
      </c>
      <c r="J10">
        <v>-46</v>
      </c>
      <c r="K10">
        <v>-14</v>
      </c>
      <c r="L10">
        <v>160.65</v>
      </c>
      <c r="M10">
        <v>-3.5792094615623999</v>
      </c>
    </row>
    <row r="11" spans="3:13">
      <c r="C11">
        <v>21</v>
      </c>
      <c r="D11" t="s">
        <v>202</v>
      </c>
      <c r="E11" t="s">
        <v>203</v>
      </c>
      <c r="F11">
        <v>-4</v>
      </c>
      <c r="G11">
        <v>330</v>
      </c>
      <c r="H11">
        <v>-2</v>
      </c>
      <c r="I11" t="s">
        <v>190</v>
      </c>
      <c r="J11">
        <v>-52</v>
      </c>
      <c r="K11">
        <v>4</v>
      </c>
      <c r="L11">
        <v>343</v>
      </c>
      <c r="M11">
        <v>-3.7900874635568398</v>
      </c>
    </row>
    <row r="12" spans="3:13">
      <c r="C12">
        <v>24</v>
      </c>
      <c r="D12" t="s">
        <v>204</v>
      </c>
      <c r="E12" t="s">
        <v>205</v>
      </c>
      <c r="F12">
        <v>-8</v>
      </c>
      <c r="G12">
        <v>213</v>
      </c>
      <c r="H12">
        <v>-4</v>
      </c>
      <c r="I12" t="s">
        <v>190</v>
      </c>
      <c r="J12">
        <v>-40.4</v>
      </c>
      <c r="K12">
        <v>-24.8</v>
      </c>
      <c r="L12">
        <v>218.05</v>
      </c>
      <c r="M12">
        <v>-2.3159825728043999</v>
      </c>
    </row>
    <row r="13" spans="3:13">
      <c r="C13">
        <v>27</v>
      </c>
      <c r="D13" t="s">
        <v>206</v>
      </c>
      <c r="E13" t="s">
        <v>207</v>
      </c>
      <c r="F13">
        <v>-3</v>
      </c>
      <c r="G13">
        <v>379.3</v>
      </c>
      <c r="H13">
        <v>-2</v>
      </c>
      <c r="I13" t="s">
        <v>190</v>
      </c>
      <c r="J13">
        <v>-35.4</v>
      </c>
      <c r="K13">
        <v>8.1</v>
      </c>
      <c r="L13">
        <v>391.1</v>
      </c>
      <c r="M13">
        <v>-3.0171311684991098</v>
      </c>
    </row>
    <row r="14" spans="3:13">
      <c r="C14">
        <v>30</v>
      </c>
      <c r="D14" t="s">
        <v>208</v>
      </c>
      <c r="E14" t="s">
        <v>209</v>
      </c>
      <c r="F14">
        <v>-25</v>
      </c>
      <c r="G14">
        <v>35.15</v>
      </c>
      <c r="H14">
        <v>-2</v>
      </c>
      <c r="I14" t="s">
        <v>190</v>
      </c>
      <c r="J14">
        <v>74</v>
      </c>
      <c r="K14">
        <v>-18.75</v>
      </c>
      <c r="L14">
        <v>32.19</v>
      </c>
      <c r="M14">
        <v>9.1954022988505795</v>
      </c>
    </row>
    <row r="15" spans="3:13">
      <c r="C15">
        <v>35</v>
      </c>
      <c r="D15" t="s">
        <v>210</v>
      </c>
      <c r="E15" t="s">
        <v>211</v>
      </c>
      <c r="F15">
        <v>-13</v>
      </c>
      <c r="G15">
        <v>75.239999999999995</v>
      </c>
      <c r="H15">
        <v>-2</v>
      </c>
      <c r="I15" t="s">
        <v>190</v>
      </c>
      <c r="J15">
        <v>-53.14</v>
      </c>
      <c r="K15">
        <v>1.82</v>
      </c>
      <c r="L15">
        <v>79.327692307692303</v>
      </c>
      <c r="M15">
        <v>-5.1529197292632203</v>
      </c>
    </row>
    <row r="16" spans="3:13">
      <c r="C16">
        <v>38</v>
      </c>
      <c r="D16" t="s">
        <v>212</v>
      </c>
      <c r="E16" t="s">
        <v>213</v>
      </c>
      <c r="F16">
        <v>-80</v>
      </c>
      <c r="G16">
        <v>17.670000000000002</v>
      </c>
      <c r="H16">
        <v>-2</v>
      </c>
      <c r="I16" t="s">
        <v>190</v>
      </c>
      <c r="J16">
        <v>202.8</v>
      </c>
      <c r="K16">
        <v>-2.4</v>
      </c>
      <c r="L16">
        <v>15.135</v>
      </c>
      <c r="M16">
        <v>16.7492566897918</v>
      </c>
    </row>
    <row r="17" spans="3:13">
      <c r="C17">
        <v>41</v>
      </c>
      <c r="D17" t="s">
        <v>214</v>
      </c>
      <c r="E17" t="s">
        <v>215</v>
      </c>
      <c r="F17">
        <v>100</v>
      </c>
      <c r="G17">
        <v>6.16</v>
      </c>
      <c r="H17">
        <v>-2</v>
      </c>
      <c r="I17" t="s">
        <v>190</v>
      </c>
      <c r="J17">
        <v>-12</v>
      </c>
      <c r="K17">
        <v>2.5</v>
      </c>
      <c r="L17">
        <v>6.04</v>
      </c>
      <c r="M17">
        <v>1.98675496688742</v>
      </c>
    </row>
    <row r="18" spans="3:13">
      <c r="C18">
        <v>44</v>
      </c>
      <c r="D18" t="s">
        <v>216</v>
      </c>
      <c r="E18" t="s">
        <v>217</v>
      </c>
      <c r="F18">
        <v>-30</v>
      </c>
      <c r="G18">
        <v>44.8</v>
      </c>
      <c r="H18">
        <v>-2</v>
      </c>
      <c r="I18" t="s">
        <v>190</v>
      </c>
      <c r="J18">
        <v>-5.5</v>
      </c>
      <c r="K18">
        <v>4.5</v>
      </c>
      <c r="L18">
        <v>44.983333333333299</v>
      </c>
      <c r="M18">
        <v>-0.40755835494626902</v>
      </c>
    </row>
    <row r="19" spans="3:13">
      <c r="C19">
        <v>48</v>
      </c>
      <c r="D19" t="s">
        <v>45</v>
      </c>
      <c r="E19" t="s">
        <v>43</v>
      </c>
      <c r="F19">
        <v>-20</v>
      </c>
      <c r="G19">
        <v>89.257999999999996</v>
      </c>
      <c r="H19">
        <v>-2</v>
      </c>
      <c r="I19" t="s">
        <v>44</v>
      </c>
      <c r="J19">
        <v>284.66000000000003</v>
      </c>
      <c r="K19">
        <v>-6.44</v>
      </c>
      <c r="L19">
        <v>75.024999999999906</v>
      </c>
      <c r="M19">
        <v>18.9710096634455</v>
      </c>
    </row>
    <row r="20" spans="3:13">
      <c r="C20">
        <v>51</v>
      </c>
      <c r="D20" t="s">
        <v>47</v>
      </c>
      <c r="E20" t="s">
        <v>46</v>
      </c>
      <c r="F20">
        <v>-24</v>
      </c>
      <c r="G20">
        <v>68.061999999999998</v>
      </c>
      <c r="H20">
        <v>-2</v>
      </c>
      <c r="I20" t="s">
        <v>44</v>
      </c>
      <c r="J20">
        <v>-23.872</v>
      </c>
      <c r="K20">
        <v>-1.6319999999999999</v>
      </c>
      <c r="L20">
        <v>69.056666666666601</v>
      </c>
      <c r="M20">
        <v>-1.44036298691894</v>
      </c>
    </row>
    <row r="21" spans="3:13">
      <c r="C21">
        <v>54</v>
      </c>
      <c r="D21" t="s">
        <v>49</v>
      </c>
      <c r="E21" t="s">
        <v>48</v>
      </c>
      <c r="F21">
        <v>-9</v>
      </c>
      <c r="G21">
        <v>169.04</v>
      </c>
      <c r="H21">
        <v>-2</v>
      </c>
      <c r="I21" t="s">
        <v>44</v>
      </c>
      <c r="J21">
        <v>-41.305</v>
      </c>
      <c r="K21">
        <v>-0.99</v>
      </c>
      <c r="L21">
        <v>173.629444444444</v>
      </c>
      <c r="M21">
        <v>-2.6432408737637298</v>
      </c>
    </row>
    <row r="22" spans="3:13">
      <c r="C22">
        <v>57</v>
      </c>
      <c r="D22" t="s">
        <v>218</v>
      </c>
      <c r="E22" t="s">
        <v>50</v>
      </c>
      <c r="F22">
        <v>-12</v>
      </c>
      <c r="G22">
        <v>168.47</v>
      </c>
      <c r="H22">
        <v>-2</v>
      </c>
      <c r="I22" t="s">
        <v>44</v>
      </c>
      <c r="J22">
        <v>350.42</v>
      </c>
      <c r="K22">
        <v>1.68</v>
      </c>
      <c r="L22">
        <v>139.268333333333</v>
      </c>
      <c r="M22">
        <v>20.967915654432101</v>
      </c>
    </row>
    <row r="23" spans="3:13">
      <c r="C23">
        <v>60</v>
      </c>
      <c r="D23" t="s">
        <v>52</v>
      </c>
      <c r="E23" t="s">
        <v>51</v>
      </c>
      <c r="F23">
        <v>-10</v>
      </c>
      <c r="G23">
        <v>167.08</v>
      </c>
      <c r="H23">
        <v>-2</v>
      </c>
      <c r="I23" t="s">
        <v>44</v>
      </c>
      <c r="J23">
        <v>-101.1</v>
      </c>
      <c r="K23">
        <v>13.9</v>
      </c>
      <c r="L23">
        <v>177.19</v>
      </c>
      <c r="M23">
        <v>-5.7057396015576396</v>
      </c>
    </row>
    <row r="24" spans="3:13">
      <c r="C24">
        <v>63</v>
      </c>
      <c r="D24" t="s">
        <v>54</v>
      </c>
      <c r="E24" t="s">
        <v>53</v>
      </c>
      <c r="F24">
        <v>-8</v>
      </c>
      <c r="G24">
        <v>277.62</v>
      </c>
      <c r="H24">
        <v>-2</v>
      </c>
      <c r="I24" t="s">
        <v>44</v>
      </c>
      <c r="J24">
        <v>91.2</v>
      </c>
      <c r="K24">
        <v>36.08</v>
      </c>
      <c r="L24">
        <v>266.22000000000003</v>
      </c>
      <c r="M24">
        <v>4.2821726391706099</v>
      </c>
    </row>
    <row r="25" spans="3:13">
      <c r="C25">
        <v>67</v>
      </c>
      <c r="D25" t="s">
        <v>56</v>
      </c>
      <c r="E25" t="s">
        <v>55</v>
      </c>
      <c r="F25">
        <v>-6</v>
      </c>
      <c r="G25">
        <v>89.78</v>
      </c>
      <c r="H25">
        <v>-2</v>
      </c>
      <c r="I25" t="s">
        <v>44</v>
      </c>
      <c r="J25">
        <v>66.52</v>
      </c>
      <c r="K25">
        <v>6.12</v>
      </c>
      <c r="L25">
        <v>78.6933333333333</v>
      </c>
      <c r="M25">
        <v>14.088444595052501</v>
      </c>
    </row>
    <row r="26" spans="3:13">
      <c r="C26">
        <v>68</v>
      </c>
      <c r="D26" t="s">
        <v>57</v>
      </c>
      <c r="E26" t="s">
        <v>55</v>
      </c>
      <c r="F26">
        <v>-9</v>
      </c>
      <c r="G26">
        <v>126.85</v>
      </c>
      <c r="H26">
        <v>-2</v>
      </c>
      <c r="I26" t="s">
        <v>44</v>
      </c>
      <c r="J26">
        <v>393.86</v>
      </c>
      <c r="K26">
        <v>-8.3699999999999992</v>
      </c>
      <c r="L26">
        <v>83.087777777777703</v>
      </c>
      <c r="M26">
        <v>52.669867208708297</v>
      </c>
    </row>
    <row r="27" spans="3:13">
      <c r="C27">
        <v>71</v>
      </c>
      <c r="D27" t="s">
        <v>59</v>
      </c>
      <c r="E27" t="s">
        <v>58</v>
      </c>
      <c r="F27">
        <v>-120</v>
      </c>
      <c r="G27">
        <v>7.8120000000000003</v>
      </c>
      <c r="H27">
        <v>-2</v>
      </c>
      <c r="I27" t="s">
        <v>44</v>
      </c>
      <c r="J27">
        <v>-43.76</v>
      </c>
      <c r="K27">
        <v>-14.16</v>
      </c>
      <c r="L27">
        <v>8.1766666666666605</v>
      </c>
      <c r="M27">
        <v>-4.4598450876477802</v>
      </c>
    </row>
    <row r="28" spans="3:13">
      <c r="C28">
        <v>74</v>
      </c>
      <c r="D28" t="s">
        <v>61</v>
      </c>
      <c r="E28" t="s">
        <v>60</v>
      </c>
      <c r="F28">
        <v>-24</v>
      </c>
      <c r="G28">
        <v>57.917999999999999</v>
      </c>
      <c r="H28">
        <v>-2</v>
      </c>
      <c r="I28" t="s">
        <v>44</v>
      </c>
      <c r="J28">
        <v>134.65199999999999</v>
      </c>
      <c r="K28">
        <v>-2.2080000000000002</v>
      </c>
      <c r="L28">
        <v>52.307499999999997</v>
      </c>
      <c r="M28">
        <v>10.725995316159199</v>
      </c>
    </row>
    <row r="29" spans="3:13">
      <c r="C29">
        <v>77</v>
      </c>
      <c r="D29" t="s">
        <v>219</v>
      </c>
      <c r="E29" t="s">
        <v>220</v>
      </c>
      <c r="F29">
        <v>-40</v>
      </c>
      <c r="G29">
        <v>72.63</v>
      </c>
      <c r="H29">
        <v>-2</v>
      </c>
      <c r="I29" t="s">
        <v>44</v>
      </c>
      <c r="J29">
        <v>-104</v>
      </c>
      <c r="K29">
        <v>-64.400000000000006</v>
      </c>
      <c r="L29">
        <v>75.229999999999905</v>
      </c>
      <c r="M29">
        <v>-3.4560680579555898</v>
      </c>
    </row>
    <row r="30" spans="3:13">
      <c r="C30">
        <v>79</v>
      </c>
      <c r="D30" t="s">
        <v>62</v>
      </c>
      <c r="E30" t="s">
        <v>63</v>
      </c>
      <c r="F30">
        <v>-11</v>
      </c>
      <c r="G30">
        <v>171.44</v>
      </c>
      <c r="H30">
        <v>-2</v>
      </c>
      <c r="I30" t="s">
        <v>44</v>
      </c>
      <c r="J30">
        <v>-105.31</v>
      </c>
      <c r="K30">
        <v>-9.24</v>
      </c>
      <c r="L30">
        <v>181.01363636363601</v>
      </c>
      <c r="M30">
        <v>-5.2889033975340798</v>
      </c>
    </row>
    <row r="31" spans="3:13">
      <c r="C31">
        <v>81</v>
      </c>
      <c r="D31" t="s">
        <v>64</v>
      </c>
      <c r="E31" t="s">
        <v>63</v>
      </c>
      <c r="F31">
        <v>-1</v>
      </c>
      <c r="G31">
        <v>176.245</v>
      </c>
      <c r="H31">
        <v>-2</v>
      </c>
      <c r="I31" t="s">
        <v>44</v>
      </c>
      <c r="J31">
        <v>-1.9683330000000001</v>
      </c>
      <c r="K31">
        <v>0.13500000000000001</v>
      </c>
      <c r="L31">
        <v>178.21333300000001</v>
      </c>
      <c r="M31">
        <v>-1.1044813352994201</v>
      </c>
    </row>
    <row r="32" spans="3:13">
      <c r="C32">
        <v>82</v>
      </c>
      <c r="D32" t="s">
        <v>56</v>
      </c>
      <c r="E32" t="s">
        <v>63</v>
      </c>
      <c r="F32">
        <v>-4</v>
      </c>
      <c r="G32">
        <v>177.20500000000001</v>
      </c>
      <c r="H32">
        <v>-2</v>
      </c>
      <c r="I32" t="s">
        <v>44</v>
      </c>
      <c r="J32">
        <v>1.9666669999999999</v>
      </c>
      <c r="K32">
        <v>9.3000000000000007</v>
      </c>
      <c r="L32">
        <v>176.71333325000001</v>
      </c>
      <c r="M32">
        <v>0.27822843978866302</v>
      </c>
    </row>
    <row r="33" spans="3:13">
      <c r="C33">
        <v>83</v>
      </c>
      <c r="D33" t="s">
        <v>65</v>
      </c>
      <c r="E33" t="s">
        <v>63</v>
      </c>
      <c r="F33">
        <v>-10</v>
      </c>
      <c r="G33">
        <v>185.22</v>
      </c>
      <c r="H33">
        <v>-2</v>
      </c>
      <c r="I33" t="s">
        <v>44</v>
      </c>
      <c r="J33">
        <v>88.066665999999998</v>
      </c>
      <c r="K33">
        <v>17.2</v>
      </c>
      <c r="L33">
        <v>176.4133334</v>
      </c>
      <c r="M33">
        <v>4.9920640522288204</v>
      </c>
    </row>
    <row r="34" spans="3:13">
      <c r="C34">
        <v>86</v>
      </c>
      <c r="D34" t="s">
        <v>67</v>
      </c>
      <c r="E34" t="s">
        <v>66</v>
      </c>
      <c r="F34">
        <v>-31</v>
      </c>
      <c r="G34">
        <v>32.03</v>
      </c>
      <c r="H34">
        <v>-2</v>
      </c>
      <c r="I34" t="s">
        <v>44</v>
      </c>
      <c r="J34">
        <v>-17.949998999999998</v>
      </c>
      <c r="K34">
        <v>-10.54</v>
      </c>
      <c r="L34">
        <v>32.609032225806402</v>
      </c>
      <c r="M34">
        <v>-1.77568049795789</v>
      </c>
    </row>
    <row r="35" spans="3:13">
      <c r="C35">
        <v>88</v>
      </c>
      <c r="D35" t="s">
        <v>68</v>
      </c>
      <c r="E35" t="s">
        <v>66</v>
      </c>
      <c r="F35">
        <v>-36</v>
      </c>
      <c r="G35">
        <v>36.39</v>
      </c>
      <c r="H35">
        <v>-2</v>
      </c>
      <c r="I35" t="s">
        <v>44</v>
      </c>
      <c r="J35">
        <v>151.04999799999999</v>
      </c>
      <c r="K35">
        <v>28.44</v>
      </c>
      <c r="L35">
        <v>32.194166722222199</v>
      </c>
      <c r="M35">
        <v>13.0328991397114</v>
      </c>
    </row>
    <row r="36" spans="3:13">
      <c r="C36">
        <v>91</v>
      </c>
      <c r="D36" t="s">
        <v>70</v>
      </c>
      <c r="E36" t="s">
        <v>69</v>
      </c>
      <c r="F36">
        <v>-20</v>
      </c>
      <c r="G36">
        <v>161.47999999999999</v>
      </c>
      <c r="H36">
        <v>-2</v>
      </c>
      <c r="I36" t="s">
        <v>44</v>
      </c>
      <c r="J36">
        <v>-50.233333000000002</v>
      </c>
      <c r="K36">
        <v>27.6</v>
      </c>
      <c r="L36">
        <v>163.99166664999899</v>
      </c>
      <c r="M36">
        <v>-1.53158187931617</v>
      </c>
    </row>
    <row r="37" spans="3:13">
      <c r="C37">
        <v>92</v>
      </c>
      <c r="D37" t="s">
        <v>71</v>
      </c>
      <c r="E37" t="s">
        <v>69</v>
      </c>
      <c r="F37">
        <v>-20</v>
      </c>
      <c r="G37">
        <v>151.21</v>
      </c>
      <c r="H37">
        <v>-2</v>
      </c>
      <c r="I37" t="s">
        <v>44</v>
      </c>
      <c r="J37">
        <v>-128.816667</v>
      </c>
      <c r="K37">
        <v>-73.2</v>
      </c>
      <c r="L37">
        <v>157.65083335</v>
      </c>
      <c r="M37">
        <v>-4.0855054255886598</v>
      </c>
    </row>
    <row r="38" spans="3:13">
      <c r="C38">
        <v>93</v>
      </c>
      <c r="D38" t="s">
        <v>72</v>
      </c>
      <c r="E38" t="s">
        <v>69</v>
      </c>
      <c r="F38">
        <v>20</v>
      </c>
      <c r="G38">
        <v>150.065</v>
      </c>
      <c r="H38">
        <v>-2</v>
      </c>
      <c r="I38" t="s">
        <v>44</v>
      </c>
      <c r="J38">
        <v>10.45</v>
      </c>
      <c r="K38">
        <v>96.1</v>
      </c>
      <c r="L38">
        <v>150.58750000000001</v>
      </c>
      <c r="M38">
        <v>-0.34697435046070402</v>
      </c>
    </row>
    <row r="39" spans="3:13">
      <c r="C39">
        <v>94</v>
      </c>
      <c r="D39" t="s">
        <v>73</v>
      </c>
      <c r="E39" t="s">
        <v>69</v>
      </c>
      <c r="F39">
        <v>-20</v>
      </c>
      <c r="G39">
        <v>150.19749999999999</v>
      </c>
      <c r="H39">
        <v>-2</v>
      </c>
      <c r="I39" t="s">
        <v>44</v>
      </c>
      <c r="J39">
        <v>-0.8</v>
      </c>
      <c r="K39">
        <v>-93.45</v>
      </c>
      <c r="L39">
        <v>150.23749999999899</v>
      </c>
      <c r="M39">
        <v>-2.6624511190609299E-2</v>
      </c>
    </row>
    <row r="40" spans="3:13">
      <c r="C40">
        <v>95</v>
      </c>
      <c r="D40" t="s">
        <v>74</v>
      </c>
      <c r="E40" t="s">
        <v>69</v>
      </c>
      <c r="F40">
        <v>20</v>
      </c>
      <c r="G40">
        <v>153.87</v>
      </c>
      <c r="H40">
        <v>-2</v>
      </c>
      <c r="I40" t="s">
        <v>44</v>
      </c>
      <c r="J40">
        <v>-38.6</v>
      </c>
      <c r="K40">
        <v>20</v>
      </c>
      <c r="L40">
        <v>151.94</v>
      </c>
      <c r="M40">
        <v>1.27023825194156</v>
      </c>
    </row>
    <row r="41" spans="3:13">
      <c r="C41">
        <v>96</v>
      </c>
      <c r="D41" t="s">
        <v>75</v>
      </c>
      <c r="E41" t="s">
        <v>69</v>
      </c>
      <c r="F41">
        <v>-10</v>
      </c>
      <c r="G41">
        <v>156.18</v>
      </c>
      <c r="H41">
        <v>-2</v>
      </c>
      <c r="I41" t="s">
        <v>44</v>
      </c>
      <c r="J41">
        <v>20.100000000000001</v>
      </c>
      <c r="K41">
        <v>-16.600000000000001</v>
      </c>
      <c r="L41">
        <v>154.16999999999999</v>
      </c>
      <c r="M41">
        <v>1.3037555944736201</v>
      </c>
    </row>
    <row r="42" spans="3:13">
      <c r="C42">
        <v>99</v>
      </c>
      <c r="D42" t="s">
        <v>221</v>
      </c>
      <c r="E42" t="s">
        <v>76</v>
      </c>
      <c r="F42">
        <v>-50</v>
      </c>
      <c r="G42">
        <v>56.85</v>
      </c>
      <c r="H42">
        <v>-2</v>
      </c>
      <c r="I42" t="s">
        <v>44</v>
      </c>
      <c r="J42">
        <v>468.5</v>
      </c>
      <c r="K42">
        <v>4</v>
      </c>
      <c r="L42">
        <v>47.48</v>
      </c>
      <c r="M42">
        <v>19.734625105307501</v>
      </c>
    </row>
    <row r="43" spans="3:13">
      <c r="C43">
        <v>102</v>
      </c>
      <c r="D43" t="s">
        <v>222</v>
      </c>
      <c r="E43" t="s">
        <v>223</v>
      </c>
      <c r="F43">
        <v>-50</v>
      </c>
      <c r="G43">
        <v>21.42</v>
      </c>
      <c r="H43">
        <v>-2</v>
      </c>
      <c r="I43" t="s">
        <v>44</v>
      </c>
      <c r="J43">
        <v>-48</v>
      </c>
      <c r="K43">
        <v>-2</v>
      </c>
      <c r="L43">
        <v>22.38</v>
      </c>
      <c r="M43">
        <v>-4.2895442359249296</v>
      </c>
    </row>
    <row r="44" spans="3:13">
      <c r="C44">
        <v>105</v>
      </c>
      <c r="D44" t="s">
        <v>78</v>
      </c>
      <c r="E44" t="s">
        <v>77</v>
      </c>
      <c r="F44">
        <v>-20</v>
      </c>
      <c r="G44">
        <v>80.489999999999995</v>
      </c>
      <c r="H44">
        <v>-2</v>
      </c>
      <c r="I44" t="s">
        <v>44</v>
      </c>
      <c r="J44">
        <v>-52.1</v>
      </c>
      <c r="K44">
        <v>-36</v>
      </c>
      <c r="L44">
        <v>83.094999999999999</v>
      </c>
      <c r="M44">
        <v>-3.13496600276792</v>
      </c>
    </row>
    <row r="45" spans="3:13">
      <c r="C45">
        <v>107</v>
      </c>
      <c r="D45" t="s">
        <v>224</v>
      </c>
      <c r="E45" t="s">
        <v>77</v>
      </c>
      <c r="F45">
        <v>-30</v>
      </c>
      <c r="G45">
        <v>84.971999999999994</v>
      </c>
      <c r="H45">
        <v>-2</v>
      </c>
      <c r="I45" t="s">
        <v>44</v>
      </c>
      <c r="J45">
        <v>-1.84</v>
      </c>
      <c r="K45">
        <v>3.36</v>
      </c>
      <c r="L45">
        <v>85.033333333333303</v>
      </c>
      <c r="M45">
        <v>-7.2128577028618399E-2</v>
      </c>
    </row>
    <row r="46" spans="3:13">
      <c r="C46">
        <v>110</v>
      </c>
      <c r="D46" t="s">
        <v>80</v>
      </c>
      <c r="E46" t="s">
        <v>79</v>
      </c>
      <c r="F46">
        <v>-5</v>
      </c>
      <c r="G46">
        <v>302.41000000000003</v>
      </c>
      <c r="H46">
        <v>-2</v>
      </c>
      <c r="I46" t="s">
        <v>44</v>
      </c>
      <c r="J46">
        <v>306.72500000000002</v>
      </c>
      <c r="K46">
        <v>-100.15</v>
      </c>
      <c r="L46">
        <v>241.065</v>
      </c>
      <c r="M46">
        <v>25.447493414639201</v>
      </c>
    </row>
    <row r="47" spans="3:13">
      <c r="C47">
        <v>112</v>
      </c>
      <c r="D47" t="s">
        <v>81</v>
      </c>
      <c r="E47" t="s">
        <v>79</v>
      </c>
      <c r="F47">
        <v>3</v>
      </c>
      <c r="G47">
        <v>332.35</v>
      </c>
      <c r="H47">
        <v>-2</v>
      </c>
      <c r="I47" t="s">
        <v>44</v>
      </c>
      <c r="J47">
        <v>-31.51</v>
      </c>
      <c r="K47">
        <v>-28.5</v>
      </c>
      <c r="L47">
        <v>321.84666666666601</v>
      </c>
      <c r="M47">
        <v>3.2634587898999499</v>
      </c>
    </row>
    <row r="48" spans="3:13">
      <c r="C48">
        <v>114</v>
      </c>
      <c r="D48" t="s">
        <v>82</v>
      </c>
      <c r="E48" t="s">
        <v>83</v>
      </c>
      <c r="F48">
        <v>-64</v>
      </c>
      <c r="G48">
        <v>13.515000000000001</v>
      </c>
      <c r="H48">
        <v>-2</v>
      </c>
      <c r="I48" t="s">
        <v>44</v>
      </c>
      <c r="J48">
        <v>-76.959999999999994</v>
      </c>
      <c r="K48">
        <v>-24</v>
      </c>
      <c r="L48">
        <v>14.717499999999999</v>
      </c>
      <c r="M48">
        <v>-8.1705452692372997</v>
      </c>
    </row>
    <row r="49" spans="3:13">
      <c r="C49">
        <v>117</v>
      </c>
      <c r="D49" t="s">
        <v>85</v>
      </c>
      <c r="E49" t="s">
        <v>84</v>
      </c>
      <c r="F49">
        <v>-13</v>
      </c>
      <c r="G49">
        <v>255.63</v>
      </c>
      <c r="H49">
        <v>-2</v>
      </c>
      <c r="I49" t="s">
        <v>44</v>
      </c>
      <c r="J49">
        <v>245.99</v>
      </c>
      <c r="K49">
        <v>73.19</v>
      </c>
      <c r="L49">
        <v>236.70769230769201</v>
      </c>
      <c r="M49">
        <v>7.9939555440010404</v>
      </c>
    </row>
    <row r="50" spans="3:13">
      <c r="C50">
        <v>119</v>
      </c>
      <c r="D50" t="s">
        <v>86</v>
      </c>
      <c r="E50" t="s">
        <v>87</v>
      </c>
      <c r="F50">
        <v>-10</v>
      </c>
      <c r="G50">
        <v>75.66</v>
      </c>
      <c r="H50">
        <v>-2</v>
      </c>
      <c r="I50" t="s">
        <v>44</v>
      </c>
      <c r="J50">
        <v>-60.7</v>
      </c>
      <c r="K50">
        <v>-4.0999999999999996</v>
      </c>
      <c r="L50">
        <v>81.729999999999905</v>
      </c>
      <c r="M50">
        <v>-7.4268934295852098</v>
      </c>
    </row>
    <row r="51" spans="3:13">
      <c r="C51">
        <v>122</v>
      </c>
      <c r="D51" t="s">
        <v>89</v>
      </c>
      <c r="E51" t="s">
        <v>88</v>
      </c>
      <c r="F51">
        <v>-10</v>
      </c>
      <c r="G51">
        <v>120.9</v>
      </c>
      <c r="H51">
        <v>-2</v>
      </c>
      <c r="I51" t="s">
        <v>44</v>
      </c>
      <c r="J51">
        <v>54.1</v>
      </c>
      <c r="K51">
        <v>-10</v>
      </c>
      <c r="L51">
        <v>115.49</v>
      </c>
      <c r="M51">
        <v>4.6843882587236996</v>
      </c>
    </row>
    <row r="52" spans="3:13">
      <c r="C52">
        <v>126</v>
      </c>
      <c r="D52" t="s">
        <v>225</v>
      </c>
      <c r="E52" t="s">
        <v>226</v>
      </c>
      <c r="F52">
        <v>-6</v>
      </c>
      <c r="G52">
        <v>321.66000000000003</v>
      </c>
      <c r="H52">
        <v>-2</v>
      </c>
      <c r="I52" t="s">
        <v>44</v>
      </c>
      <c r="J52">
        <v>-1.51</v>
      </c>
      <c r="K52">
        <v>9</v>
      </c>
      <c r="L52">
        <v>321.91166666666601</v>
      </c>
      <c r="M52">
        <v>-7.8178796460726105E-2</v>
      </c>
    </row>
    <row r="53" spans="3:13">
      <c r="C53">
        <v>127</v>
      </c>
      <c r="D53" t="s">
        <v>227</v>
      </c>
      <c r="E53" t="s">
        <v>226</v>
      </c>
      <c r="F53">
        <v>-6</v>
      </c>
      <c r="G53">
        <v>314.89400000000001</v>
      </c>
      <c r="H53">
        <v>-2</v>
      </c>
      <c r="I53" t="s">
        <v>44</v>
      </c>
      <c r="J53">
        <v>-41.985999999999997</v>
      </c>
      <c r="K53">
        <v>6.1440000000000001</v>
      </c>
      <c r="L53">
        <v>321.89166666666603</v>
      </c>
      <c r="M53">
        <v>-2.1739197970331499</v>
      </c>
    </row>
    <row r="54" spans="3:13">
      <c r="C54">
        <v>129</v>
      </c>
      <c r="D54" t="s">
        <v>228</v>
      </c>
      <c r="E54" t="s">
        <v>226</v>
      </c>
      <c r="F54">
        <v>-12</v>
      </c>
      <c r="G54">
        <v>315.27</v>
      </c>
      <c r="H54">
        <v>-2</v>
      </c>
      <c r="I54" t="s">
        <v>44</v>
      </c>
      <c r="J54">
        <v>-60.76</v>
      </c>
      <c r="K54">
        <v>38.880000000000003</v>
      </c>
      <c r="L54">
        <v>320.33333333333297</v>
      </c>
      <c r="M54">
        <v>-1.5806451612903101</v>
      </c>
    </row>
    <row r="55" spans="3:13">
      <c r="C55">
        <v>132</v>
      </c>
      <c r="D55" t="s">
        <v>229</v>
      </c>
      <c r="E55" t="s">
        <v>230</v>
      </c>
      <c r="F55">
        <v>-5</v>
      </c>
      <c r="G55">
        <v>258.02</v>
      </c>
      <c r="H55">
        <v>-2</v>
      </c>
      <c r="I55" t="s">
        <v>44</v>
      </c>
      <c r="J55">
        <v>-41.35</v>
      </c>
      <c r="K55">
        <v>-5.85</v>
      </c>
      <c r="L55">
        <v>266.289999999999</v>
      </c>
      <c r="M55">
        <v>-3.10563671185548</v>
      </c>
    </row>
    <row r="56" spans="3:13">
      <c r="C56">
        <v>135</v>
      </c>
      <c r="D56" t="s">
        <v>231</v>
      </c>
      <c r="E56" t="s">
        <v>90</v>
      </c>
      <c r="F56">
        <v>-20</v>
      </c>
      <c r="G56">
        <v>76.150000000000006</v>
      </c>
      <c r="H56">
        <v>-2</v>
      </c>
      <c r="I56" t="s">
        <v>44</v>
      </c>
      <c r="J56">
        <v>138.19999999999999</v>
      </c>
      <c r="K56">
        <v>-3</v>
      </c>
      <c r="L56">
        <v>69.239999999999995</v>
      </c>
      <c r="M56">
        <v>9.9797804737146105</v>
      </c>
    </row>
    <row r="57" spans="3:13">
      <c r="C57">
        <v>138</v>
      </c>
      <c r="D57" t="s">
        <v>92</v>
      </c>
      <c r="E57" t="s">
        <v>91</v>
      </c>
      <c r="F57">
        <v>-22</v>
      </c>
      <c r="G57">
        <v>52.56</v>
      </c>
      <c r="H57">
        <v>-2</v>
      </c>
      <c r="I57" t="s">
        <v>44</v>
      </c>
      <c r="J57">
        <v>-62.08</v>
      </c>
      <c r="K57">
        <v>-9.02</v>
      </c>
      <c r="L57">
        <v>55.381818181818097</v>
      </c>
      <c r="M57">
        <v>-5.0952068286276999</v>
      </c>
    </row>
    <row r="58" spans="3:13">
      <c r="C58">
        <v>140</v>
      </c>
      <c r="D58" t="s">
        <v>232</v>
      </c>
      <c r="E58" t="s">
        <v>91</v>
      </c>
      <c r="F58">
        <v>-50</v>
      </c>
      <c r="G58">
        <v>77.290800000000004</v>
      </c>
      <c r="H58">
        <v>-2</v>
      </c>
      <c r="I58" t="s">
        <v>44</v>
      </c>
      <c r="J58">
        <v>-187.46</v>
      </c>
      <c r="K58">
        <v>-10.46</v>
      </c>
      <c r="L58">
        <v>81.040000000000006</v>
      </c>
      <c r="M58">
        <v>-4.6263573543928898</v>
      </c>
    </row>
    <row r="59" spans="3:13">
      <c r="C59">
        <v>143</v>
      </c>
      <c r="D59" t="s">
        <v>233</v>
      </c>
      <c r="E59" t="s">
        <v>234</v>
      </c>
      <c r="F59">
        <v>-25</v>
      </c>
      <c r="G59">
        <v>161.19999999999999</v>
      </c>
      <c r="H59">
        <v>-2</v>
      </c>
      <c r="I59" t="s">
        <v>44</v>
      </c>
      <c r="J59">
        <v>-3.25</v>
      </c>
      <c r="K59">
        <v>42.5</v>
      </c>
      <c r="L59">
        <v>161.32999999999899</v>
      </c>
      <c r="M59">
        <v>-8.0580177276390302E-2</v>
      </c>
    </row>
    <row r="60" spans="3:13">
      <c r="C60">
        <v>146</v>
      </c>
      <c r="D60" t="s">
        <v>94</v>
      </c>
      <c r="E60" t="s">
        <v>93</v>
      </c>
      <c r="F60">
        <v>-84</v>
      </c>
      <c r="G60">
        <v>11.21</v>
      </c>
      <c r="H60">
        <v>-2</v>
      </c>
      <c r="I60" t="s">
        <v>44</v>
      </c>
      <c r="J60">
        <v>59.18</v>
      </c>
      <c r="K60">
        <v>-5.88</v>
      </c>
      <c r="L60">
        <v>10.5054761904761</v>
      </c>
      <c r="M60">
        <v>6.70625297463907</v>
      </c>
    </row>
    <row r="61" spans="3:13">
      <c r="C61">
        <v>149</v>
      </c>
      <c r="D61" t="s">
        <v>96</v>
      </c>
      <c r="E61" t="s">
        <v>95</v>
      </c>
      <c r="F61">
        <v>-2</v>
      </c>
      <c r="G61">
        <v>698</v>
      </c>
      <c r="H61">
        <v>-2</v>
      </c>
      <c r="I61" t="s">
        <v>44</v>
      </c>
      <c r="J61">
        <v>-64.680000000000007</v>
      </c>
      <c r="K61">
        <v>-18.3</v>
      </c>
      <c r="L61">
        <v>730.34</v>
      </c>
      <c r="M61">
        <v>-4.4280745953939196</v>
      </c>
    </row>
    <row r="62" spans="3:13">
      <c r="C62">
        <v>152</v>
      </c>
      <c r="D62" t="s">
        <v>98</v>
      </c>
      <c r="E62" t="s">
        <v>97</v>
      </c>
      <c r="F62">
        <v>-25</v>
      </c>
      <c r="G62">
        <v>89.66</v>
      </c>
      <c r="H62">
        <v>-2</v>
      </c>
      <c r="I62" t="s">
        <v>44</v>
      </c>
      <c r="J62">
        <v>-41.25</v>
      </c>
      <c r="K62">
        <v>-23</v>
      </c>
      <c r="L62">
        <v>91.31</v>
      </c>
      <c r="M62">
        <v>-1.8070309933194599</v>
      </c>
    </row>
    <row r="63" spans="3:13">
      <c r="C63">
        <v>154</v>
      </c>
      <c r="D63" t="s">
        <v>99</v>
      </c>
      <c r="E63" t="s">
        <v>100</v>
      </c>
      <c r="F63">
        <v>-8</v>
      </c>
      <c r="G63">
        <v>123.24124999999999</v>
      </c>
      <c r="H63">
        <v>-2</v>
      </c>
      <c r="I63" t="s">
        <v>44</v>
      </c>
      <c r="J63">
        <v>-96.67</v>
      </c>
      <c r="K63">
        <v>-20.95</v>
      </c>
      <c r="L63">
        <v>135.32499999999999</v>
      </c>
      <c r="M63">
        <v>-8.9294291520413793</v>
      </c>
    </row>
    <row r="64" spans="3:13">
      <c r="C64">
        <v>158</v>
      </c>
      <c r="D64" t="s">
        <v>102</v>
      </c>
      <c r="E64" t="s">
        <v>101</v>
      </c>
      <c r="F64">
        <v>-2</v>
      </c>
      <c r="G64">
        <v>961.75</v>
      </c>
      <c r="H64">
        <v>-2</v>
      </c>
      <c r="I64" t="s">
        <v>44</v>
      </c>
      <c r="J64">
        <v>163.36000000000001</v>
      </c>
      <c r="K64">
        <v>-4.4800000000000004</v>
      </c>
      <c r="L64">
        <v>880.06999999999903</v>
      </c>
      <c r="M64">
        <v>9.2810799140977398</v>
      </c>
    </row>
    <row r="65" spans="3:13">
      <c r="C65">
        <v>161</v>
      </c>
      <c r="D65" t="s">
        <v>235</v>
      </c>
      <c r="E65" t="s">
        <v>103</v>
      </c>
      <c r="F65">
        <v>-4</v>
      </c>
      <c r="G65">
        <v>324.75</v>
      </c>
      <c r="H65">
        <v>-2</v>
      </c>
      <c r="I65" t="s">
        <v>44</v>
      </c>
      <c r="J65">
        <v>-14.12</v>
      </c>
      <c r="K65">
        <v>-1.68</v>
      </c>
      <c r="L65">
        <v>328.28</v>
      </c>
      <c r="M65">
        <v>-1.0753015718289201</v>
      </c>
    </row>
    <row r="66" spans="3:13">
      <c r="C66">
        <v>164</v>
      </c>
      <c r="D66" t="s">
        <v>105</v>
      </c>
      <c r="E66" t="s">
        <v>104</v>
      </c>
      <c r="F66">
        <v>-18</v>
      </c>
      <c r="G66">
        <v>61.75</v>
      </c>
      <c r="H66">
        <v>-2</v>
      </c>
      <c r="I66" t="s">
        <v>44</v>
      </c>
      <c r="J66">
        <v>-85.9</v>
      </c>
      <c r="K66">
        <v>14.76</v>
      </c>
      <c r="L66">
        <v>66.522222222222197</v>
      </c>
      <c r="M66">
        <v>-7.1738767329213298</v>
      </c>
    </row>
    <row r="67" spans="3:13">
      <c r="C67">
        <v>167</v>
      </c>
      <c r="D67" t="s">
        <v>236</v>
      </c>
      <c r="E67" t="s">
        <v>106</v>
      </c>
      <c r="F67">
        <v>-20</v>
      </c>
      <c r="G67">
        <v>100.35</v>
      </c>
      <c r="H67">
        <v>-2</v>
      </c>
      <c r="I67" t="s">
        <v>44</v>
      </c>
      <c r="J67">
        <v>205.4</v>
      </c>
      <c r="K67">
        <v>29.6</v>
      </c>
      <c r="L67">
        <v>90.08</v>
      </c>
      <c r="M67">
        <v>11.400976909413799</v>
      </c>
    </row>
    <row r="68" spans="3:13">
      <c r="C68">
        <v>170</v>
      </c>
      <c r="D68" t="s">
        <v>237</v>
      </c>
      <c r="E68" t="s">
        <v>107</v>
      </c>
      <c r="F68">
        <v>-8</v>
      </c>
      <c r="G68">
        <v>210.11</v>
      </c>
      <c r="H68">
        <v>-2</v>
      </c>
      <c r="I68" t="s">
        <v>44</v>
      </c>
      <c r="J68">
        <v>-28.12</v>
      </c>
      <c r="K68">
        <v>10.56</v>
      </c>
      <c r="L68">
        <v>213.625</v>
      </c>
      <c r="M68">
        <v>-1.6454066705675701</v>
      </c>
    </row>
    <row r="69" spans="3:13">
      <c r="C69">
        <v>173</v>
      </c>
      <c r="D69" t="s">
        <v>109</v>
      </c>
      <c r="E69" t="s">
        <v>108</v>
      </c>
      <c r="F69">
        <v>-30</v>
      </c>
      <c r="G69">
        <v>32.185000000000002</v>
      </c>
      <c r="H69">
        <v>-2</v>
      </c>
      <c r="I69" t="s">
        <v>44</v>
      </c>
      <c r="J69">
        <v>-46.15</v>
      </c>
      <c r="K69">
        <v>-10.35</v>
      </c>
      <c r="L69">
        <v>33.723333333333301</v>
      </c>
      <c r="M69">
        <v>-4.5616289413857798</v>
      </c>
    </row>
    <row r="70" spans="3:13">
      <c r="C70">
        <v>175</v>
      </c>
      <c r="D70" t="s">
        <v>110</v>
      </c>
      <c r="E70" t="s">
        <v>111</v>
      </c>
      <c r="F70">
        <v>-38</v>
      </c>
      <c r="G70">
        <v>40.299999999999997</v>
      </c>
      <c r="H70">
        <v>-2</v>
      </c>
      <c r="I70" t="s">
        <v>44</v>
      </c>
      <c r="J70">
        <v>48.63</v>
      </c>
      <c r="K70">
        <v>-7.98</v>
      </c>
      <c r="L70">
        <v>39.020263157894703</v>
      </c>
      <c r="M70">
        <v>3.2796725048389099</v>
      </c>
    </row>
    <row r="71" spans="3:13">
      <c r="C71">
        <v>177</v>
      </c>
      <c r="D71" t="s">
        <v>112</v>
      </c>
      <c r="E71" t="s">
        <v>113</v>
      </c>
      <c r="F71">
        <v>-52</v>
      </c>
      <c r="G71">
        <v>24.703800000000001</v>
      </c>
      <c r="H71">
        <v>-2</v>
      </c>
      <c r="I71" t="s">
        <v>44</v>
      </c>
      <c r="J71">
        <v>93.067600999999996</v>
      </c>
      <c r="K71">
        <v>-1.8824000000000001</v>
      </c>
      <c r="L71">
        <v>22.9140384423076</v>
      </c>
      <c r="M71">
        <v>7.81076440191248</v>
      </c>
    </row>
    <row r="72" spans="3:13">
      <c r="C72">
        <v>179</v>
      </c>
      <c r="D72" t="s">
        <v>114</v>
      </c>
      <c r="E72" t="s">
        <v>115</v>
      </c>
      <c r="F72">
        <v>-28</v>
      </c>
      <c r="G72">
        <v>45.59</v>
      </c>
      <c r="H72">
        <v>-2</v>
      </c>
      <c r="I72" t="s">
        <v>44</v>
      </c>
      <c r="J72">
        <v>-13.990000999999999</v>
      </c>
      <c r="K72">
        <v>-0.84</v>
      </c>
      <c r="L72">
        <v>46.0896428928571</v>
      </c>
      <c r="M72">
        <v>-1.08406761583865</v>
      </c>
    </row>
    <row r="73" spans="3:13">
      <c r="C73">
        <v>182</v>
      </c>
      <c r="D73" t="s">
        <v>238</v>
      </c>
      <c r="E73" t="s">
        <v>239</v>
      </c>
      <c r="F73">
        <v>-20</v>
      </c>
      <c r="G73">
        <v>65.06</v>
      </c>
      <c r="H73">
        <v>-2</v>
      </c>
      <c r="I73" t="s">
        <v>44</v>
      </c>
      <c r="J73">
        <v>-27.6</v>
      </c>
      <c r="K73">
        <v>-3.8</v>
      </c>
      <c r="L73">
        <v>66.44</v>
      </c>
      <c r="M73">
        <v>-2.0770620108368298</v>
      </c>
    </row>
    <row r="74" spans="3:13">
      <c r="C74">
        <v>185</v>
      </c>
      <c r="D74" t="s">
        <v>240</v>
      </c>
      <c r="E74" t="s">
        <v>116</v>
      </c>
      <c r="F74">
        <v>-6</v>
      </c>
      <c r="G74">
        <v>250.21</v>
      </c>
      <c r="H74">
        <v>-2</v>
      </c>
      <c r="I74" t="s">
        <v>44</v>
      </c>
      <c r="J74">
        <v>-41.86</v>
      </c>
      <c r="K74">
        <v>-24.9</v>
      </c>
      <c r="L74">
        <v>257.18666666666599</v>
      </c>
      <c r="M74">
        <v>-2.71268598683187</v>
      </c>
    </row>
    <row r="75" spans="3:13">
      <c r="C75">
        <v>187</v>
      </c>
      <c r="D75" t="s">
        <v>117</v>
      </c>
      <c r="E75" t="s">
        <v>118</v>
      </c>
      <c r="F75">
        <v>-19</v>
      </c>
      <c r="G75">
        <v>50.24</v>
      </c>
      <c r="H75">
        <v>-2</v>
      </c>
      <c r="I75" t="s">
        <v>44</v>
      </c>
      <c r="J75">
        <v>12.625</v>
      </c>
      <c r="K75">
        <v>-29.83</v>
      </c>
      <c r="L75">
        <v>49.575526315789403</v>
      </c>
      <c r="M75">
        <v>1.3403260309893901</v>
      </c>
    </row>
    <row r="76" spans="3:13">
      <c r="C76">
        <v>190</v>
      </c>
      <c r="D76" t="s">
        <v>241</v>
      </c>
      <c r="E76" t="s">
        <v>119</v>
      </c>
      <c r="F76">
        <v>-33</v>
      </c>
      <c r="G76">
        <v>93.14</v>
      </c>
      <c r="H76">
        <v>-2</v>
      </c>
      <c r="I76" t="s">
        <v>44</v>
      </c>
      <c r="J76">
        <v>-63.07</v>
      </c>
      <c r="K76">
        <v>19.47</v>
      </c>
      <c r="L76">
        <v>95.051212121212103</v>
      </c>
      <c r="M76">
        <v>-2.0107183049647799</v>
      </c>
    </row>
    <row r="77" spans="3:13">
      <c r="C77">
        <v>193</v>
      </c>
      <c r="D77" t="s">
        <v>121</v>
      </c>
      <c r="E77" t="s">
        <v>120</v>
      </c>
      <c r="F77">
        <v>-15</v>
      </c>
      <c r="G77">
        <v>119.05</v>
      </c>
      <c r="H77">
        <v>-2</v>
      </c>
      <c r="I77" t="s">
        <v>44</v>
      </c>
      <c r="J77">
        <v>-37.450000000000003</v>
      </c>
      <c r="K77">
        <v>-8.5500000000000007</v>
      </c>
      <c r="L77">
        <v>121.546666666666</v>
      </c>
      <c r="M77">
        <v>-2.0540807371654299</v>
      </c>
    </row>
    <row r="78" spans="3:13">
      <c r="C78">
        <v>196</v>
      </c>
      <c r="D78" t="s">
        <v>242</v>
      </c>
      <c r="E78" t="s">
        <v>122</v>
      </c>
      <c r="F78">
        <v>-18</v>
      </c>
      <c r="G78">
        <v>197.78</v>
      </c>
      <c r="H78">
        <v>-2</v>
      </c>
      <c r="I78" t="s">
        <v>44</v>
      </c>
      <c r="J78">
        <v>40.46</v>
      </c>
      <c r="K78">
        <v>-9.36</v>
      </c>
      <c r="L78">
        <v>195.532222222222</v>
      </c>
      <c r="M78">
        <v>1.14956898266269</v>
      </c>
    </row>
    <row r="79" spans="3:13">
      <c r="C79">
        <v>199</v>
      </c>
      <c r="D79" t="s">
        <v>124</v>
      </c>
      <c r="E79" t="s">
        <v>123</v>
      </c>
      <c r="F79">
        <v>-2</v>
      </c>
      <c r="G79">
        <v>760.56</v>
      </c>
      <c r="H79">
        <v>-2</v>
      </c>
      <c r="I79" t="s">
        <v>44</v>
      </c>
      <c r="J79">
        <v>87.12</v>
      </c>
      <c r="K79">
        <v>-3.16</v>
      </c>
      <c r="L79">
        <v>717</v>
      </c>
      <c r="M79">
        <v>6.0753138075313604</v>
      </c>
    </row>
    <row r="80" spans="3:13">
      <c r="C80">
        <v>202</v>
      </c>
      <c r="D80" t="s">
        <v>126</v>
      </c>
      <c r="E80" t="s">
        <v>125</v>
      </c>
      <c r="F80">
        <v>-26</v>
      </c>
      <c r="G80">
        <v>61.22</v>
      </c>
      <c r="H80">
        <v>-2</v>
      </c>
      <c r="I80" t="s">
        <v>44</v>
      </c>
      <c r="J80">
        <v>14.26</v>
      </c>
      <c r="K80">
        <v>10.4</v>
      </c>
      <c r="L80">
        <v>60.671538461538397</v>
      </c>
      <c r="M80">
        <v>0.903984887096975</v>
      </c>
    </row>
    <row r="81" spans="3:13">
      <c r="C81">
        <v>205</v>
      </c>
      <c r="D81" t="s">
        <v>128</v>
      </c>
      <c r="E81" t="s">
        <v>127</v>
      </c>
      <c r="F81">
        <v>-3</v>
      </c>
      <c r="G81">
        <v>463.23</v>
      </c>
      <c r="H81">
        <v>-2</v>
      </c>
      <c r="I81" t="s">
        <v>44</v>
      </c>
      <c r="J81">
        <v>-71.484999999999999</v>
      </c>
      <c r="K81">
        <v>28.23</v>
      </c>
      <c r="L81">
        <v>487.058333333333</v>
      </c>
      <c r="M81">
        <v>-4.8922955840333904</v>
      </c>
    </row>
    <row r="82" spans="3:13">
      <c r="C82">
        <v>208</v>
      </c>
      <c r="D82" t="s">
        <v>130</v>
      </c>
      <c r="E82" t="s">
        <v>129</v>
      </c>
      <c r="F82">
        <v>-9</v>
      </c>
      <c r="G82">
        <v>126.8</v>
      </c>
      <c r="H82">
        <v>-2</v>
      </c>
      <c r="I82" t="s">
        <v>44</v>
      </c>
      <c r="J82">
        <v>19.22</v>
      </c>
      <c r="K82">
        <v>-18.72</v>
      </c>
      <c r="L82">
        <v>124.664444444444</v>
      </c>
      <c r="M82">
        <v>1.7130430132444401</v>
      </c>
    </row>
    <row r="83" spans="3:13">
      <c r="C83">
        <v>210</v>
      </c>
      <c r="D83" t="s">
        <v>131</v>
      </c>
      <c r="E83" t="s">
        <v>132</v>
      </c>
      <c r="F83">
        <v>-3</v>
      </c>
      <c r="G83">
        <v>357.71</v>
      </c>
      <c r="H83">
        <v>-2</v>
      </c>
      <c r="I83" t="s">
        <v>44</v>
      </c>
      <c r="J83">
        <v>-21.204999999999998</v>
      </c>
      <c r="K83">
        <v>-15.81</v>
      </c>
      <c r="L83">
        <v>364.77833333333302</v>
      </c>
      <c r="M83">
        <v>-1.9377064610014301</v>
      </c>
    </row>
    <row r="84" spans="3:13">
      <c r="C84">
        <v>212</v>
      </c>
      <c r="D84" t="s">
        <v>133</v>
      </c>
      <c r="E84" t="s">
        <v>134</v>
      </c>
      <c r="F84">
        <v>-4</v>
      </c>
      <c r="G84">
        <v>352.02</v>
      </c>
      <c r="H84">
        <v>-2</v>
      </c>
      <c r="I84" t="s">
        <v>44</v>
      </c>
      <c r="J84">
        <v>-64.8</v>
      </c>
      <c r="K84">
        <v>-23.92</v>
      </c>
      <c r="L84">
        <v>368.219999999999</v>
      </c>
      <c r="M84">
        <v>-4.3995437510183999</v>
      </c>
    </row>
    <row r="85" spans="3:13">
      <c r="C85">
        <v>217</v>
      </c>
      <c r="D85" t="s">
        <v>92</v>
      </c>
      <c r="E85" t="s">
        <v>135</v>
      </c>
      <c r="F85">
        <v>-4</v>
      </c>
      <c r="G85">
        <v>757.8</v>
      </c>
      <c r="H85">
        <v>-2</v>
      </c>
      <c r="I85" t="s">
        <v>44</v>
      </c>
      <c r="J85">
        <v>-69.52</v>
      </c>
      <c r="K85">
        <v>-63.84</v>
      </c>
      <c r="L85">
        <v>775.18</v>
      </c>
      <c r="M85">
        <v>-2.2420599086663699</v>
      </c>
    </row>
    <row r="86" spans="3:13">
      <c r="C86">
        <v>220</v>
      </c>
      <c r="D86" t="s">
        <v>243</v>
      </c>
      <c r="E86" t="s">
        <v>136</v>
      </c>
      <c r="F86">
        <v>-38</v>
      </c>
      <c r="G86">
        <v>74.594999999999999</v>
      </c>
      <c r="H86">
        <v>-2</v>
      </c>
      <c r="I86" t="s">
        <v>44</v>
      </c>
      <c r="J86">
        <v>882.54</v>
      </c>
      <c r="K86">
        <v>25.27</v>
      </c>
      <c r="L86">
        <v>51.370263157894698</v>
      </c>
      <c r="M86">
        <v>45.210468886873898</v>
      </c>
    </row>
    <row r="87" spans="3:13">
      <c r="C87">
        <v>222</v>
      </c>
      <c r="D87" t="s">
        <v>137</v>
      </c>
      <c r="E87" t="s">
        <v>138</v>
      </c>
      <c r="F87">
        <v>-27</v>
      </c>
      <c r="G87">
        <v>53.5</v>
      </c>
      <c r="H87">
        <v>-2</v>
      </c>
      <c r="I87" t="s">
        <v>44</v>
      </c>
      <c r="J87">
        <v>286.25</v>
      </c>
      <c r="K87">
        <v>-54.54</v>
      </c>
      <c r="L87">
        <v>42.898148148148103</v>
      </c>
      <c r="M87">
        <v>24.7140082020289</v>
      </c>
    </row>
    <row r="88" spans="3:13">
      <c r="C88">
        <v>224</v>
      </c>
      <c r="D88" t="s">
        <v>139</v>
      </c>
      <c r="E88" t="s">
        <v>138</v>
      </c>
      <c r="F88">
        <v>-30</v>
      </c>
      <c r="G88">
        <v>63.36</v>
      </c>
      <c r="H88">
        <v>-2</v>
      </c>
      <c r="I88" t="s">
        <v>44</v>
      </c>
      <c r="J88">
        <v>50.6</v>
      </c>
      <c r="K88">
        <v>0</v>
      </c>
      <c r="L88">
        <v>61.673333333333296</v>
      </c>
      <c r="M88">
        <v>2.73483947681332</v>
      </c>
    </row>
    <row r="89" spans="3:13">
      <c r="C89">
        <v>227</v>
      </c>
      <c r="D89" t="s">
        <v>141</v>
      </c>
      <c r="E89" t="s">
        <v>140</v>
      </c>
      <c r="F89">
        <v>-7</v>
      </c>
      <c r="G89">
        <v>301.60000000000002</v>
      </c>
      <c r="H89">
        <v>-2</v>
      </c>
      <c r="I89" t="s">
        <v>44</v>
      </c>
      <c r="J89">
        <v>142.65</v>
      </c>
      <c r="K89">
        <v>-5.6</v>
      </c>
      <c r="L89">
        <v>281.22142857142802</v>
      </c>
      <c r="M89">
        <v>7.24645043305987</v>
      </c>
    </row>
    <row r="90" spans="3:13">
      <c r="C90">
        <v>229</v>
      </c>
      <c r="D90" t="s">
        <v>142</v>
      </c>
      <c r="E90" t="s">
        <v>143</v>
      </c>
      <c r="F90">
        <v>-4</v>
      </c>
      <c r="G90">
        <v>137.1437</v>
      </c>
      <c r="H90">
        <v>-2</v>
      </c>
      <c r="I90" t="s">
        <v>44</v>
      </c>
      <c r="J90">
        <v>80.574799999999996</v>
      </c>
      <c r="K90">
        <v>-7.2652000000000001</v>
      </c>
      <c r="L90">
        <v>117</v>
      </c>
      <c r="M90">
        <v>17.216837606837601</v>
      </c>
    </row>
    <row r="91" spans="3:13">
      <c r="C91">
        <v>231</v>
      </c>
      <c r="D91" t="s">
        <v>144</v>
      </c>
      <c r="E91" t="s">
        <v>145</v>
      </c>
      <c r="F91">
        <v>-11</v>
      </c>
      <c r="G91">
        <v>151.82</v>
      </c>
      <c r="H91">
        <v>-2</v>
      </c>
      <c r="I91" t="s">
        <v>44</v>
      </c>
      <c r="J91">
        <v>-127.56</v>
      </c>
      <c r="K91">
        <v>-17.489999999999998</v>
      </c>
      <c r="L91">
        <v>163.416363636363</v>
      </c>
      <c r="M91">
        <v>-7.0962071229096901</v>
      </c>
    </row>
    <row r="92" spans="3:13">
      <c r="C92">
        <v>234</v>
      </c>
      <c r="D92" t="s">
        <v>147</v>
      </c>
      <c r="E92" t="s">
        <v>146</v>
      </c>
      <c r="F92">
        <v>-44</v>
      </c>
      <c r="G92">
        <v>41.342272727000001</v>
      </c>
      <c r="H92">
        <v>-2</v>
      </c>
      <c r="I92" t="s">
        <v>44</v>
      </c>
      <c r="J92">
        <v>5.78</v>
      </c>
      <c r="K92">
        <v>-3.86</v>
      </c>
      <c r="L92">
        <v>41.210909090636299</v>
      </c>
      <c r="M92">
        <v>0.31875937527785497</v>
      </c>
    </row>
    <row r="93" spans="3:13">
      <c r="C93">
        <v>237</v>
      </c>
      <c r="D93" t="s">
        <v>149</v>
      </c>
      <c r="E93" t="s">
        <v>148</v>
      </c>
      <c r="F93">
        <v>-25</v>
      </c>
      <c r="G93">
        <v>29.83</v>
      </c>
      <c r="H93">
        <v>-2</v>
      </c>
      <c r="I93" t="s">
        <v>44</v>
      </c>
      <c r="J93">
        <v>-56</v>
      </c>
      <c r="K93">
        <v>-7.25</v>
      </c>
      <c r="L93">
        <v>32.07</v>
      </c>
      <c r="M93">
        <v>-6.9847209229809799</v>
      </c>
    </row>
    <row r="94" spans="3:13">
      <c r="C94">
        <v>240</v>
      </c>
      <c r="D94" t="s">
        <v>151</v>
      </c>
      <c r="E94" t="s">
        <v>150</v>
      </c>
      <c r="F94">
        <v>-10</v>
      </c>
      <c r="G94">
        <v>146.69</v>
      </c>
      <c r="H94">
        <v>-2</v>
      </c>
      <c r="I94" t="s">
        <v>44</v>
      </c>
      <c r="J94">
        <v>75.099999999999994</v>
      </c>
      <c r="K94">
        <v>7.1</v>
      </c>
      <c r="L94">
        <v>139.18</v>
      </c>
      <c r="M94">
        <v>5.3958902141112199</v>
      </c>
    </row>
    <row r="95" spans="3:13">
      <c r="C95">
        <v>243</v>
      </c>
      <c r="D95" t="s">
        <v>153</v>
      </c>
      <c r="E95" t="s">
        <v>152</v>
      </c>
      <c r="F95">
        <v>-7</v>
      </c>
      <c r="G95">
        <v>190.02</v>
      </c>
      <c r="H95">
        <v>-2</v>
      </c>
      <c r="I95" t="s">
        <v>44</v>
      </c>
      <c r="J95">
        <v>50.04</v>
      </c>
      <c r="K95">
        <v>8.61</v>
      </c>
      <c r="L95">
        <v>182.871428571428</v>
      </c>
      <c r="M95">
        <v>3.9090696039371702</v>
      </c>
    </row>
    <row r="96" spans="3:13">
      <c r="C96">
        <v>246</v>
      </c>
      <c r="D96" t="s">
        <v>155</v>
      </c>
      <c r="E96" t="s">
        <v>154</v>
      </c>
      <c r="F96">
        <v>-30</v>
      </c>
      <c r="G96">
        <v>23.23</v>
      </c>
      <c r="H96">
        <v>-2</v>
      </c>
      <c r="I96" t="s">
        <v>44</v>
      </c>
      <c r="J96">
        <v>-31.858000000000001</v>
      </c>
      <c r="K96">
        <v>1.2</v>
      </c>
      <c r="L96">
        <v>24.291933333333301</v>
      </c>
      <c r="M96">
        <v>-4.3715472077150404</v>
      </c>
    </row>
    <row r="97" spans="3:13">
      <c r="C97">
        <v>248</v>
      </c>
      <c r="D97" t="s">
        <v>244</v>
      </c>
      <c r="E97" t="s">
        <v>154</v>
      </c>
      <c r="F97">
        <v>-25</v>
      </c>
      <c r="G97">
        <v>24.09</v>
      </c>
      <c r="H97">
        <v>-2</v>
      </c>
      <c r="I97" t="s">
        <v>44</v>
      </c>
      <c r="J97">
        <v>-1.5</v>
      </c>
      <c r="K97">
        <v>0</v>
      </c>
      <c r="L97">
        <v>24.15</v>
      </c>
      <c r="M97">
        <v>-0.24844720496893699</v>
      </c>
    </row>
    <row r="98" spans="3:13">
      <c r="C98">
        <v>251</v>
      </c>
      <c r="D98" t="s">
        <v>157</v>
      </c>
      <c r="E98" t="s">
        <v>156</v>
      </c>
      <c r="F98">
        <v>-26</v>
      </c>
      <c r="G98">
        <v>42.09</v>
      </c>
      <c r="H98">
        <v>-2</v>
      </c>
      <c r="I98" t="s">
        <v>44</v>
      </c>
      <c r="J98">
        <v>-0.7</v>
      </c>
      <c r="K98">
        <v>-18.2</v>
      </c>
      <c r="L98">
        <v>42.116923076923001</v>
      </c>
      <c r="M98">
        <v>-6.3924605493859102E-2</v>
      </c>
    </row>
    <row r="99" spans="3:13">
      <c r="C99">
        <v>254</v>
      </c>
      <c r="D99" t="s">
        <v>245</v>
      </c>
      <c r="E99" t="s">
        <v>246</v>
      </c>
      <c r="F99">
        <v>-6</v>
      </c>
      <c r="G99">
        <v>182.62</v>
      </c>
      <c r="H99">
        <v>-2</v>
      </c>
      <c r="I99" t="s">
        <v>44</v>
      </c>
      <c r="J99">
        <v>-58.54</v>
      </c>
      <c r="K99">
        <v>-20.28</v>
      </c>
      <c r="L99">
        <v>192.37666666666601</v>
      </c>
      <c r="M99">
        <v>-5.0716476357146396</v>
      </c>
    </row>
    <row r="100" spans="3:13">
      <c r="C100">
        <v>257</v>
      </c>
      <c r="D100" t="s">
        <v>159</v>
      </c>
      <c r="E100" t="s">
        <v>158</v>
      </c>
      <c r="F100">
        <v>-2</v>
      </c>
      <c r="G100">
        <v>507.26</v>
      </c>
      <c r="H100">
        <v>-2</v>
      </c>
      <c r="I100" t="s">
        <v>44</v>
      </c>
      <c r="J100">
        <v>-110.62</v>
      </c>
      <c r="K100">
        <v>16.579999999999998</v>
      </c>
      <c r="L100">
        <v>562.56999999999903</v>
      </c>
      <c r="M100">
        <v>-9.8316653927511197</v>
      </c>
    </row>
    <row r="101" spans="3:13">
      <c r="C101">
        <v>260</v>
      </c>
      <c r="D101" t="s">
        <v>161</v>
      </c>
      <c r="E101" t="s">
        <v>160</v>
      </c>
      <c r="F101">
        <v>-7</v>
      </c>
      <c r="G101">
        <v>254.55</v>
      </c>
      <c r="H101">
        <v>-2</v>
      </c>
      <c r="I101" t="s">
        <v>44</v>
      </c>
      <c r="J101">
        <v>421.18</v>
      </c>
      <c r="K101">
        <v>0.7</v>
      </c>
      <c r="L101">
        <v>194.38142857142799</v>
      </c>
      <c r="M101">
        <v>30.9538683148742</v>
      </c>
    </row>
    <row r="102" spans="3:13">
      <c r="C102">
        <v>263</v>
      </c>
      <c r="D102" t="s">
        <v>247</v>
      </c>
      <c r="E102" t="s">
        <v>248</v>
      </c>
      <c r="F102">
        <v>-20</v>
      </c>
      <c r="G102">
        <v>119.685</v>
      </c>
      <c r="H102">
        <v>-2</v>
      </c>
      <c r="I102" t="s">
        <v>44</v>
      </c>
      <c r="J102">
        <v>-72.3</v>
      </c>
      <c r="K102">
        <v>-53.1</v>
      </c>
      <c r="L102">
        <v>123.3</v>
      </c>
      <c r="M102">
        <v>-2.93187347931873</v>
      </c>
    </row>
    <row r="103" spans="3:13">
      <c r="C103">
        <v>266</v>
      </c>
      <c r="D103" t="s">
        <v>163</v>
      </c>
      <c r="E103" t="s">
        <v>162</v>
      </c>
      <c r="F103">
        <v>-16</v>
      </c>
      <c r="G103">
        <v>94.62</v>
      </c>
      <c r="H103">
        <v>-2</v>
      </c>
      <c r="I103" t="s">
        <v>44</v>
      </c>
      <c r="J103">
        <v>13.68</v>
      </c>
      <c r="K103">
        <v>-9.2799999999999994</v>
      </c>
      <c r="L103">
        <v>93.765000000000001</v>
      </c>
      <c r="M103">
        <v>0.91185410334346795</v>
      </c>
    </row>
    <row r="104" spans="3:13">
      <c r="C104">
        <v>269</v>
      </c>
      <c r="D104" t="s">
        <v>249</v>
      </c>
      <c r="E104" t="s">
        <v>164</v>
      </c>
      <c r="F104">
        <v>-10</v>
      </c>
      <c r="G104">
        <v>225.31</v>
      </c>
      <c r="H104">
        <v>-2</v>
      </c>
      <c r="I104" t="s">
        <v>44</v>
      </c>
      <c r="J104">
        <v>56</v>
      </c>
      <c r="K104">
        <v>14.7</v>
      </c>
      <c r="L104">
        <v>219.71</v>
      </c>
      <c r="M104">
        <v>2.5488143461835899</v>
      </c>
    </row>
    <row r="105" spans="3:13">
      <c r="C105">
        <v>272</v>
      </c>
      <c r="D105" t="s">
        <v>166</v>
      </c>
      <c r="E105" t="s">
        <v>165</v>
      </c>
      <c r="F105">
        <v>-30</v>
      </c>
      <c r="G105">
        <v>44.86</v>
      </c>
      <c r="H105">
        <v>-2</v>
      </c>
      <c r="I105" t="s">
        <v>44</v>
      </c>
      <c r="J105">
        <v>-39.1</v>
      </c>
      <c r="K105">
        <v>-34.200000000000003</v>
      </c>
      <c r="L105">
        <v>46.163333333333298</v>
      </c>
      <c r="M105">
        <v>-2.8233085421330002</v>
      </c>
    </row>
    <row r="106" spans="3:13">
      <c r="C106">
        <v>274</v>
      </c>
      <c r="D106" t="s">
        <v>167</v>
      </c>
      <c r="E106" t="s">
        <v>168</v>
      </c>
      <c r="F106">
        <v>-112</v>
      </c>
      <c r="G106">
        <v>5.95</v>
      </c>
      <c r="H106">
        <v>-2</v>
      </c>
      <c r="I106" t="s">
        <v>44</v>
      </c>
      <c r="J106">
        <v>-51.6</v>
      </c>
      <c r="K106">
        <v>-43.68</v>
      </c>
      <c r="L106">
        <v>6.4107142857142803</v>
      </c>
      <c r="M106">
        <v>-7.1866295264623901</v>
      </c>
    </row>
    <row r="107" spans="3:13">
      <c r="C107">
        <v>277</v>
      </c>
      <c r="D107" t="s">
        <v>250</v>
      </c>
      <c r="E107" t="s">
        <v>169</v>
      </c>
      <c r="F107">
        <v>-8</v>
      </c>
      <c r="G107">
        <v>276.63</v>
      </c>
      <c r="H107">
        <v>-2</v>
      </c>
      <c r="I107" t="s">
        <v>44</v>
      </c>
      <c r="J107">
        <v>-49.12</v>
      </c>
      <c r="K107">
        <v>-2.64</v>
      </c>
      <c r="L107">
        <v>282.77</v>
      </c>
      <c r="M107">
        <v>-2.1713760299890299</v>
      </c>
    </row>
    <row r="108" spans="3:13">
      <c r="C108">
        <v>280</v>
      </c>
      <c r="D108" t="s">
        <v>251</v>
      </c>
      <c r="E108" t="s">
        <v>252</v>
      </c>
      <c r="F108">
        <v>-200</v>
      </c>
      <c r="G108">
        <v>34.630000000000003</v>
      </c>
      <c r="H108">
        <v>-2</v>
      </c>
      <c r="I108" t="s">
        <v>44</v>
      </c>
      <c r="J108">
        <v>1378</v>
      </c>
      <c r="K108">
        <v>-194</v>
      </c>
      <c r="L108">
        <v>27.74</v>
      </c>
      <c r="M108">
        <v>24.8377793799567</v>
      </c>
    </row>
    <row r="109" spans="3:13">
      <c r="C109">
        <v>283</v>
      </c>
      <c r="D109" t="s">
        <v>171</v>
      </c>
      <c r="E109" t="s">
        <v>170</v>
      </c>
      <c r="F109">
        <v>-110</v>
      </c>
      <c r="G109">
        <v>10.240181818</v>
      </c>
      <c r="H109">
        <v>-2</v>
      </c>
      <c r="I109" t="s">
        <v>44</v>
      </c>
      <c r="J109">
        <v>-70.53</v>
      </c>
      <c r="K109">
        <v>-6.58</v>
      </c>
      <c r="L109">
        <v>10.881363636181799</v>
      </c>
      <c r="M109">
        <v>-5.8924767117405503</v>
      </c>
    </row>
    <row r="110" spans="3:13">
      <c r="C110">
        <v>287</v>
      </c>
      <c r="D110" t="s">
        <v>253</v>
      </c>
      <c r="E110" t="s">
        <v>172</v>
      </c>
      <c r="F110">
        <v>-15</v>
      </c>
      <c r="G110">
        <v>78.739999999999995</v>
      </c>
      <c r="H110">
        <v>-2</v>
      </c>
      <c r="I110" t="s">
        <v>44</v>
      </c>
      <c r="J110">
        <v>51.65</v>
      </c>
      <c r="K110">
        <v>-34.049999999999997</v>
      </c>
      <c r="L110">
        <v>75.296666666666596</v>
      </c>
      <c r="M110">
        <v>4.5730222674753103</v>
      </c>
    </row>
    <row r="111" spans="3:13">
      <c r="C111">
        <v>288</v>
      </c>
      <c r="D111" t="s">
        <v>254</v>
      </c>
      <c r="E111" t="s">
        <v>172</v>
      </c>
      <c r="F111">
        <v>-10</v>
      </c>
      <c r="G111">
        <v>79.415000000000006</v>
      </c>
      <c r="H111">
        <v>-2</v>
      </c>
      <c r="I111" t="s">
        <v>44</v>
      </c>
      <c r="J111">
        <v>46.35</v>
      </c>
      <c r="K111">
        <v>-15.95</v>
      </c>
      <c r="L111">
        <v>74.78</v>
      </c>
      <c r="M111">
        <v>6.1981813319069197</v>
      </c>
    </row>
    <row r="112" spans="3:13">
      <c r="C112">
        <v>291</v>
      </c>
      <c r="D112" t="s">
        <v>255</v>
      </c>
      <c r="E112" t="s">
        <v>256</v>
      </c>
      <c r="F112">
        <v>-50</v>
      </c>
      <c r="G112">
        <v>92.378</v>
      </c>
      <c r="H112">
        <v>-2</v>
      </c>
      <c r="I112" t="s">
        <v>44</v>
      </c>
      <c r="J112">
        <v>489.9</v>
      </c>
      <c r="K112">
        <v>110.4</v>
      </c>
      <c r="L112">
        <v>82.58</v>
      </c>
      <c r="M112">
        <v>11.864858319205601</v>
      </c>
    </row>
    <row r="113" spans="3:13">
      <c r="C113">
        <v>294</v>
      </c>
      <c r="D113" t="s">
        <v>257</v>
      </c>
      <c r="E113" t="s">
        <v>173</v>
      </c>
      <c r="F113">
        <v>-13</v>
      </c>
      <c r="G113">
        <v>145.44399999999999</v>
      </c>
      <c r="H113">
        <v>-2</v>
      </c>
      <c r="I113" t="s">
        <v>44</v>
      </c>
      <c r="J113">
        <v>63.131999999999998</v>
      </c>
      <c r="K113">
        <v>-27.248000000000001</v>
      </c>
      <c r="L113">
        <v>140.58769230769201</v>
      </c>
      <c r="M113">
        <v>3.4542907793657398</v>
      </c>
    </row>
    <row r="114" spans="3:13">
      <c r="C114">
        <v>296</v>
      </c>
      <c r="D114" t="s">
        <v>258</v>
      </c>
      <c r="E114" t="s">
        <v>173</v>
      </c>
      <c r="F114">
        <v>-15</v>
      </c>
      <c r="G114">
        <v>165.92</v>
      </c>
      <c r="H114">
        <v>-2</v>
      </c>
      <c r="I114" t="s">
        <v>44</v>
      </c>
      <c r="J114">
        <v>72.349999999999994</v>
      </c>
      <c r="K114">
        <v>15.3</v>
      </c>
      <c r="L114">
        <v>161.09666666666601</v>
      </c>
      <c r="M114">
        <v>2.9940615365515502</v>
      </c>
    </row>
    <row r="115" spans="3:13">
      <c r="C115">
        <v>299</v>
      </c>
      <c r="D115" t="s">
        <v>259</v>
      </c>
      <c r="E115" t="s">
        <v>174</v>
      </c>
      <c r="F115">
        <v>-10</v>
      </c>
      <c r="G115">
        <v>238.49</v>
      </c>
      <c r="H115">
        <v>-2</v>
      </c>
      <c r="I115" t="s">
        <v>44</v>
      </c>
      <c r="J115">
        <v>48.6</v>
      </c>
      <c r="K115">
        <v>26.1</v>
      </c>
      <c r="L115">
        <v>233.63</v>
      </c>
      <c r="M115">
        <v>2.0802123015023701</v>
      </c>
    </row>
    <row r="116" spans="3:13">
      <c r="C116">
        <v>302</v>
      </c>
      <c r="D116" t="s">
        <v>176</v>
      </c>
      <c r="E116" t="s">
        <v>175</v>
      </c>
      <c r="F116">
        <v>-3</v>
      </c>
      <c r="G116">
        <v>444.01499999999999</v>
      </c>
      <c r="H116">
        <v>-2</v>
      </c>
      <c r="I116" t="s">
        <v>44</v>
      </c>
      <c r="J116">
        <v>14.015000000000001</v>
      </c>
      <c r="K116">
        <v>0.495</v>
      </c>
      <c r="L116">
        <v>439.34333333333302</v>
      </c>
      <c r="M116">
        <v>1.0633293627611</v>
      </c>
    </row>
    <row r="117" spans="3:13">
      <c r="C117">
        <v>303</v>
      </c>
      <c r="D117" t="s">
        <v>177</v>
      </c>
      <c r="E117" t="s">
        <v>175</v>
      </c>
      <c r="F117">
        <v>-3</v>
      </c>
      <c r="G117">
        <v>402.1</v>
      </c>
      <c r="H117">
        <v>-2</v>
      </c>
      <c r="I117" t="s">
        <v>44</v>
      </c>
      <c r="J117">
        <v>-130.16499999999999</v>
      </c>
      <c r="K117">
        <v>32.340000000000003</v>
      </c>
      <c r="L117">
        <v>445.488333333333</v>
      </c>
      <c r="M117">
        <v>-9.7394993508995693</v>
      </c>
    </row>
    <row r="118" spans="3:13">
      <c r="C118">
        <v>306</v>
      </c>
      <c r="D118" t="s">
        <v>179</v>
      </c>
      <c r="E118" t="s">
        <v>178</v>
      </c>
      <c r="F118">
        <v>-5</v>
      </c>
      <c r="G118">
        <v>255.24</v>
      </c>
      <c r="H118">
        <v>-2</v>
      </c>
      <c r="I118" t="s">
        <v>44</v>
      </c>
      <c r="J118">
        <v>-3.4</v>
      </c>
      <c r="K118">
        <v>-20.9</v>
      </c>
      <c r="L118">
        <v>255.92</v>
      </c>
      <c r="M118">
        <v>-0.26570803376054702</v>
      </c>
    </row>
    <row r="119" spans="3:13">
      <c r="C119">
        <v>308</v>
      </c>
      <c r="D119" t="s">
        <v>180</v>
      </c>
      <c r="E119" t="s">
        <v>178</v>
      </c>
      <c r="F119">
        <v>-5</v>
      </c>
      <c r="G119">
        <v>303</v>
      </c>
      <c r="H119">
        <v>-2</v>
      </c>
      <c r="I119" t="s">
        <v>44</v>
      </c>
      <c r="J119">
        <v>137.44999999999999</v>
      </c>
      <c r="K119">
        <v>-36.6</v>
      </c>
      <c r="L119">
        <v>275.51</v>
      </c>
      <c r="M119">
        <v>9.9778592428586901</v>
      </c>
    </row>
    <row r="120" spans="3:13">
      <c r="C120">
        <v>311</v>
      </c>
      <c r="D120" t="s">
        <v>260</v>
      </c>
      <c r="E120" t="s">
        <v>181</v>
      </c>
      <c r="F120">
        <v>-15</v>
      </c>
      <c r="G120">
        <v>211.93</v>
      </c>
      <c r="H120">
        <v>-2</v>
      </c>
      <c r="I120" t="s">
        <v>44</v>
      </c>
      <c r="J120">
        <v>194.67500000000001</v>
      </c>
      <c r="K120">
        <v>-14.7</v>
      </c>
      <c r="L120">
        <v>198.951666666666</v>
      </c>
      <c r="M120">
        <v>6.5233599450452697</v>
      </c>
    </row>
    <row r="121" spans="3:13">
      <c r="C121">
        <v>314</v>
      </c>
      <c r="D121" t="s">
        <v>183</v>
      </c>
      <c r="E121" t="s">
        <v>182</v>
      </c>
      <c r="F121">
        <v>-5</v>
      </c>
      <c r="G121">
        <v>212.12</v>
      </c>
      <c r="H121">
        <v>-2</v>
      </c>
      <c r="I121" t="s">
        <v>44</v>
      </c>
      <c r="J121">
        <v>-162.65</v>
      </c>
      <c r="K121">
        <v>-9</v>
      </c>
      <c r="L121">
        <v>244.65</v>
      </c>
      <c r="M121">
        <v>-13.2965460862456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C658D-F7A1-49CA-BE40-44513389608F}">
  <sheetPr codeName="Tabelle2"/>
  <dimension ref="A1:P122"/>
  <sheetViews>
    <sheetView zoomScale="68" zoomScaleNormal="85" workbookViewId="0">
      <selection activeCell="C3" sqref="C3:C7"/>
    </sheetView>
  </sheetViews>
  <sheetFormatPr baseColWidth="10" defaultRowHeight="14.4"/>
  <cols>
    <col min="1" max="1" width="11.5546875" style="25"/>
    <col min="2" max="2" width="4.6640625" bestFit="1" customWidth="1"/>
    <col min="3" max="3" width="8.6640625" bestFit="1" customWidth="1"/>
    <col min="4" max="5" width="8.5546875" bestFit="1" customWidth="1"/>
    <col min="6" max="7" width="11.5546875" bestFit="1" customWidth="1"/>
    <col min="8" max="9" width="12" bestFit="1" customWidth="1"/>
    <col min="10" max="10" width="17.44140625" customWidth="1"/>
    <col min="11" max="11" width="12" bestFit="1" customWidth="1"/>
    <col min="12" max="13" width="11.5546875" bestFit="1" customWidth="1"/>
    <col min="14" max="14" width="7.44140625" bestFit="1" customWidth="1"/>
    <col min="15" max="15" width="5.6640625" customWidth="1"/>
    <col min="16" max="16" width="12" bestFit="1" customWidth="1"/>
    <col min="19" max="19" width="13.6640625" bestFit="1" customWidth="1"/>
  </cols>
  <sheetData>
    <row r="1" spans="1:16" ht="15" thickBot="1">
      <c r="A1" s="22"/>
      <c r="B1" s="18"/>
      <c r="C1" s="19"/>
      <c r="D1" s="19"/>
      <c r="E1" s="19"/>
    </row>
    <row r="2" spans="1:16" ht="42" customHeight="1" thickBot="1">
      <c r="A2" s="23"/>
      <c r="B2" s="20"/>
      <c r="C2" s="21"/>
      <c r="D2" s="21"/>
      <c r="E2" s="21"/>
      <c r="J2" s="16"/>
      <c r="L2" t="s">
        <v>30</v>
      </c>
      <c r="M2" t="s">
        <v>31</v>
      </c>
      <c r="N2" t="s">
        <v>32</v>
      </c>
    </row>
    <row r="3" spans="1:16" ht="15" thickBot="1">
      <c r="A3" s="23"/>
      <c r="B3" s="20"/>
      <c r="C3" s="26">
        <v>5195</v>
      </c>
      <c r="D3" s="27"/>
      <c r="E3" s="28"/>
      <c r="H3" s="38">
        <v>2E-3</v>
      </c>
      <c r="I3">
        <v>50000</v>
      </c>
      <c r="J3">
        <f>I3*H3</f>
        <v>100</v>
      </c>
      <c r="K3" s="39">
        <f>J3/L3</f>
        <v>20</v>
      </c>
      <c r="L3" s="30">
        <v>5</v>
      </c>
      <c r="M3">
        <v>213</v>
      </c>
      <c r="N3">
        <f>K3*M3</f>
        <v>4260</v>
      </c>
    </row>
    <row r="4" spans="1:16" ht="15" thickBot="1">
      <c r="A4" s="23"/>
      <c r="B4" s="20"/>
      <c r="C4" s="26">
        <v>5356</v>
      </c>
      <c r="D4" s="27"/>
      <c r="E4" s="28"/>
    </row>
    <row r="5" spans="1:16" ht="15" thickBot="1">
      <c r="A5" s="23"/>
      <c r="B5" s="20"/>
      <c r="C5" s="26">
        <v>5658</v>
      </c>
      <c r="D5" s="27"/>
      <c r="E5" s="28"/>
    </row>
    <row r="6" spans="1:16" ht="15" thickBot="1">
      <c r="A6" s="23"/>
      <c r="B6" s="20"/>
      <c r="C6" s="28">
        <v>6575</v>
      </c>
      <c r="D6" s="27"/>
      <c r="E6" s="28"/>
      <c r="K6">
        <v>2000</v>
      </c>
    </row>
    <row r="7" spans="1:16" ht="15" thickBot="1">
      <c r="A7" s="23"/>
      <c r="B7" s="20"/>
      <c r="C7" s="26">
        <v>5462</v>
      </c>
      <c r="D7" s="27"/>
      <c r="E7" s="28"/>
    </row>
    <row r="8" spans="1:16" ht="15" thickBot="1">
      <c r="A8" s="23"/>
      <c r="B8" s="20"/>
      <c r="C8" s="26"/>
      <c r="D8" s="27"/>
      <c r="E8" s="28"/>
      <c r="M8" t="s">
        <v>37</v>
      </c>
      <c r="P8">
        <f>K6</f>
        <v>2000</v>
      </c>
    </row>
    <row r="9" spans="1:16" ht="15" thickBot="1">
      <c r="A9" s="23"/>
      <c r="B9" s="20"/>
      <c r="C9" s="26"/>
      <c r="D9" s="27"/>
      <c r="E9" s="28"/>
      <c r="F9" t="s">
        <v>35</v>
      </c>
      <c r="G9" t="s">
        <v>36</v>
      </c>
      <c r="H9" t="s">
        <v>33</v>
      </c>
      <c r="I9" t="s">
        <v>34</v>
      </c>
      <c r="K9">
        <f ca="1">RAND()</f>
        <v>0.28523655836406658</v>
      </c>
      <c r="L9">
        <f ca="1">IF(K9&lt;=H$10,1,0)</f>
        <v>1</v>
      </c>
      <c r="M9">
        <f ca="1">L9*$G$10*$F$10+(L9-1)*$F$10</f>
        <v>0.1</v>
      </c>
      <c r="N9" s="40"/>
      <c r="P9">
        <f ca="1">P8*(1+M9)</f>
        <v>2200</v>
      </c>
    </row>
    <row r="10" spans="1:16" ht="15" thickBot="1">
      <c r="A10" s="23"/>
      <c r="B10" s="20"/>
      <c r="C10" s="26"/>
      <c r="D10" s="27"/>
      <c r="E10" s="28"/>
      <c r="F10" s="38">
        <v>0.05</v>
      </c>
      <c r="G10">
        <v>2</v>
      </c>
      <c r="H10">
        <f>4/9</f>
        <v>0.44444444444444442</v>
      </c>
      <c r="I10">
        <f>1-H10</f>
        <v>0.55555555555555558</v>
      </c>
      <c r="K10">
        <f t="shared" ref="K10:K48" ca="1" si="0">RAND()</f>
        <v>0.2896309032465848</v>
      </c>
      <c r="L10">
        <f t="shared" ref="L10:L47" ca="1" si="1">IF(K10&lt;=H$10,1,0)</f>
        <v>1</v>
      </c>
      <c r="M10">
        <f t="shared" ref="M10:M73" ca="1" si="2">L10*$G$10*$F$10+(L10-1)*$F$10</f>
        <v>0.1</v>
      </c>
      <c r="P10">
        <f t="shared" ref="P10:P73" ca="1" si="3">P9*(1+M10)</f>
        <v>2420</v>
      </c>
    </row>
    <row r="11" spans="1:16" ht="15" thickBot="1">
      <c r="A11" s="23"/>
      <c r="B11" s="20"/>
      <c r="C11" s="26"/>
      <c r="D11" s="27"/>
      <c r="E11" s="28"/>
      <c r="K11">
        <f t="shared" ca="1" si="0"/>
        <v>0.31084185311911972</v>
      </c>
      <c r="L11">
        <f t="shared" ca="1" si="1"/>
        <v>1</v>
      </c>
      <c r="M11">
        <f t="shared" ca="1" si="2"/>
        <v>0.1</v>
      </c>
      <c r="P11">
        <f t="shared" ca="1" si="3"/>
        <v>2662</v>
      </c>
    </row>
    <row r="12" spans="1:16" ht="15" thickBot="1">
      <c r="A12" s="23"/>
      <c r="B12" s="20"/>
      <c r="C12" s="28"/>
      <c r="D12" s="27"/>
      <c r="E12" s="28"/>
      <c r="K12">
        <f t="shared" ca="1" si="0"/>
        <v>0.49397855336639063</v>
      </c>
      <c r="L12">
        <f t="shared" ca="1" si="1"/>
        <v>0</v>
      </c>
      <c r="M12">
        <f t="shared" ca="1" si="2"/>
        <v>-0.05</v>
      </c>
      <c r="P12">
        <f t="shared" ca="1" si="3"/>
        <v>2528.9</v>
      </c>
    </row>
    <row r="13" spans="1:16" ht="15" thickBot="1">
      <c r="A13" s="23"/>
      <c r="B13" s="20"/>
      <c r="C13" s="28"/>
      <c r="D13" s="27"/>
      <c r="E13" s="28"/>
      <c r="K13">
        <f t="shared" ca="1" si="0"/>
        <v>0.71280999195374128</v>
      </c>
      <c r="L13">
        <f t="shared" ca="1" si="1"/>
        <v>0</v>
      </c>
      <c r="M13">
        <f t="shared" ca="1" si="2"/>
        <v>-0.05</v>
      </c>
      <c r="P13">
        <f t="shared" ca="1" si="3"/>
        <v>2402.4549999999999</v>
      </c>
    </row>
    <row r="14" spans="1:16" ht="15" thickBot="1">
      <c r="A14" s="23"/>
      <c r="B14" s="20"/>
      <c r="C14" s="28"/>
      <c r="D14" s="27"/>
      <c r="E14" s="28"/>
      <c r="K14">
        <f t="shared" ca="1" si="0"/>
        <v>0.10259529082588592</v>
      </c>
      <c r="L14">
        <f t="shared" ca="1" si="1"/>
        <v>1</v>
      </c>
      <c r="M14">
        <f t="shared" ca="1" si="2"/>
        <v>0.1</v>
      </c>
      <c r="P14">
        <f t="shared" ca="1" si="3"/>
        <v>2642.7004999999999</v>
      </c>
    </row>
    <row r="15" spans="1:16" ht="15" thickBot="1">
      <c r="A15" s="23"/>
      <c r="B15" s="20"/>
      <c r="C15" s="28"/>
      <c r="D15" s="27"/>
      <c r="E15" s="28"/>
      <c r="K15">
        <f t="shared" ca="1" si="0"/>
        <v>0.24520822464547509</v>
      </c>
      <c r="L15">
        <f t="shared" ca="1" si="1"/>
        <v>1</v>
      </c>
      <c r="M15">
        <f t="shared" ca="1" si="2"/>
        <v>0.1</v>
      </c>
      <c r="P15">
        <f t="shared" ca="1" si="3"/>
        <v>2906.97055</v>
      </c>
    </row>
    <row r="16" spans="1:16" ht="15" thickBot="1">
      <c r="A16" s="23"/>
      <c r="B16" s="20"/>
      <c r="C16" s="26"/>
      <c r="D16" s="27"/>
      <c r="E16" s="28"/>
      <c r="K16">
        <f t="shared" ca="1" si="0"/>
        <v>0.41746264689561119</v>
      </c>
      <c r="L16">
        <f t="shared" ca="1" si="1"/>
        <v>1</v>
      </c>
      <c r="M16">
        <f t="shared" ca="1" si="2"/>
        <v>0.1</v>
      </c>
      <c r="P16">
        <f t="shared" ca="1" si="3"/>
        <v>3197.6676050000001</v>
      </c>
    </row>
    <row r="17" spans="1:16" ht="15" thickBot="1">
      <c r="A17" s="23"/>
      <c r="B17" s="20"/>
      <c r="C17" s="26"/>
      <c r="D17" s="27"/>
      <c r="E17" s="28"/>
      <c r="K17">
        <f t="shared" ca="1" si="0"/>
        <v>0.51937447329685149</v>
      </c>
      <c r="L17">
        <f t="shared" ca="1" si="1"/>
        <v>0</v>
      </c>
      <c r="M17">
        <f t="shared" ca="1" si="2"/>
        <v>-0.05</v>
      </c>
      <c r="P17">
        <f t="shared" ca="1" si="3"/>
        <v>3037.7842247499998</v>
      </c>
    </row>
    <row r="18" spans="1:16" ht="15" thickBot="1">
      <c r="A18" s="23"/>
      <c r="B18" s="20"/>
      <c r="C18" s="26"/>
      <c r="D18" s="27"/>
      <c r="E18" s="28"/>
      <c r="K18">
        <f t="shared" ca="1" si="0"/>
        <v>0.54563857026960572</v>
      </c>
      <c r="L18">
        <f t="shared" ca="1" si="1"/>
        <v>0</v>
      </c>
      <c r="M18">
        <f t="shared" ca="1" si="2"/>
        <v>-0.05</v>
      </c>
      <c r="P18">
        <f t="shared" ca="1" si="3"/>
        <v>2885.8950135124996</v>
      </c>
    </row>
    <row r="19" spans="1:16" ht="15" thickBot="1">
      <c r="A19" s="23"/>
      <c r="B19" s="20"/>
      <c r="C19" s="26"/>
      <c r="D19" s="27"/>
      <c r="E19" s="28"/>
      <c r="K19">
        <f t="shared" ca="1" si="0"/>
        <v>0.9791189222193547</v>
      </c>
      <c r="L19">
        <f t="shared" ca="1" si="1"/>
        <v>0</v>
      </c>
      <c r="M19">
        <f t="shared" ca="1" si="2"/>
        <v>-0.05</v>
      </c>
      <c r="P19">
        <f t="shared" ca="1" si="3"/>
        <v>2741.6002628368747</v>
      </c>
    </row>
    <row r="20" spans="1:16" ht="15" thickBot="1">
      <c r="A20" s="23"/>
      <c r="B20" s="20"/>
      <c r="C20" s="26"/>
      <c r="D20" s="27"/>
      <c r="E20" s="28"/>
      <c r="K20">
        <f t="shared" ca="1" si="0"/>
        <v>0.75576607786780914</v>
      </c>
      <c r="L20">
        <f t="shared" ca="1" si="1"/>
        <v>0</v>
      </c>
      <c r="M20">
        <f t="shared" ca="1" si="2"/>
        <v>-0.05</v>
      </c>
      <c r="P20">
        <f t="shared" ca="1" si="3"/>
        <v>2604.520249695031</v>
      </c>
    </row>
    <row r="21" spans="1:16" ht="15" thickBot="1">
      <c r="A21" s="23"/>
      <c r="B21" s="20"/>
      <c r="C21" s="26"/>
      <c r="D21" s="27"/>
      <c r="E21" s="28"/>
      <c r="K21">
        <f t="shared" ca="1" si="0"/>
        <v>0.42558507233033938</v>
      </c>
      <c r="L21">
        <f t="shared" ca="1" si="1"/>
        <v>1</v>
      </c>
      <c r="M21">
        <f t="shared" ca="1" si="2"/>
        <v>0.1</v>
      </c>
      <c r="P21">
        <f t="shared" ca="1" si="3"/>
        <v>2864.9722746645343</v>
      </c>
    </row>
    <row r="22" spans="1:16" ht="15" thickBot="1">
      <c r="A22" s="23"/>
      <c r="B22" s="20"/>
      <c r="C22" s="26"/>
      <c r="D22" s="27"/>
      <c r="E22" s="28"/>
      <c r="K22">
        <f t="shared" ca="1" si="0"/>
        <v>8.1926679205360675E-2</v>
      </c>
      <c r="L22">
        <f t="shared" ca="1" si="1"/>
        <v>1</v>
      </c>
      <c r="M22">
        <f t="shared" ca="1" si="2"/>
        <v>0.1</v>
      </c>
      <c r="P22">
        <f t="shared" ca="1" si="3"/>
        <v>3151.4695021309881</v>
      </c>
    </row>
    <row r="23" spans="1:16" ht="15" thickBot="1">
      <c r="A23" s="23"/>
      <c r="B23" s="20"/>
      <c r="C23" s="26"/>
      <c r="D23" s="27"/>
      <c r="E23" s="28"/>
      <c r="K23">
        <f t="shared" ca="1" si="0"/>
        <v>0.96075504648251087</v>
      </c>
      <c r="L23">
        <f t="shared" ca="1" si="1"/>
        <v>0</v>
      </c>
      <c r="M23">
        <f t="shared" ca="1" si="2"/>
        <v>-0.05</v>
      </c>
      <c r="P23">
        <f t="shared" ca="1" si="3"/>
        <v>2993.8960270244384</v>
      </c>
    </row>
    <row r="24" spans="1:16" ht="15" thickBot="1">
      <c r="A24" s="23"/>
      <c r="B24" s="20"/>
      <c r="C24" s="26"/>
      <c r="D24" s="27"/>
      <c r="E24" s="28"/>
      <c r="K24">
        <f t="shared" ca="1" si="0"/>
        <v>8.6890203162933388E-2</v>
      </c>
      <c r="L24">
        <f t="shared" ca="1" si="1"/>
        <v>1</v>
      </c>
      <c r="M24">
        <f t="shared" ca="1" si="2"/>
        <v>0.1</v>
      </c>
      <c r="P24">
        <f t="shared" ca="1" si="3"/>
        <v>3293.2856297268822</v>
      </c>
    </row>
    <row r="25" spans="1:16" ht="15" thickBot="1">
      <c r="A25" s="23"/>
      <c r="B25" s="20"/>
      <c r="C25" s="26"/>
      <c r="D25" s="27"/>
      <c r="E25" s="28"/>
      <c r="K25">
        <f t="shared" ca="1" si="0"/>
        <v>1.0873314637928067E-2</v>
      </c>
      <c r="L25">
        <f t="shared" ca="1" si="1"/>
        <v>1</v>
      </c>
      <c r="M25">
        <f t="shared" ca="1" si="2"/>
        <v>0.1</v>
      </c>
      <c r="P25">
        <f t="shared" ca="1" si="3"/>
        <v>3622.6141926995706</v>
      </c>
    </row>
    <row r="26" spans="1:16" ht="15" thickBot="1">
      <c r="A26" s="23"/>
      <c r="B26" s="20"/>
      <c r="C26" s="28"/>
      <c r="D26" s="27"/>
      <c r="E26" s="29"/>
      <c r="K26">
        <f t="shared" ca="1" si="0"/>
        <v>0.19625877750326648</v>
      </c>
      <c r="L26">
        <f t="shared" ca="1" si="1"/>
        <v>1</v>
      </c>
      <c r="M26">
        <f t="shared" ca="1" si="2"/>
        <v>0.1</v>
      </c>
      <c r="P26">
        <f t="shared" ca="1" si="3"/>
        <v>3984.8756119695281</v>
      </c>
    </row>
    <row r="27" spans="1:16" ht="15" thickBot="1">
      <c r="A27" s="23"/>
      <c r="B27" s="20"/>
      <c r="C27" s="29"/>
      <c r="D27" s="27"/>
      <c r="E27" s="29"/>
      <c r="K27">
        <f t="shared" ca="1" si="0"/>
        <v>0.50641125646649465</v>
      </c>
      <c r="L27">
        <f t="shared" ca="1" si="1"/>
        <v>0</v>
      </c>
      <c r="M27">
        <f t="shared" ca="1" si="2"/>
        <v>-0.05</v>
      </c>
      <c r="P27">
        <f t="shared" ca="1" si="3"/>
        <v>3785.6318313710517</v>
      </c>
    </row>
    <row r="28" spans="1:16" ht="15" thickBot="1">
      <c r="A28" s="23"/>
      <c r="B28" s="20"/>
      <c r="C28" s="26"/>
      <c r="D28" s="27"/>
      <c r="E28" s="29"/>
      <c r="K28">
        <f t="shared" ca="1" si="0"/>
        <v>0.97272495035554729</v>
      </c>
      <c r="L28">
        <f t="shared" ca="1" si="1"/>
        <v>0</v>
      </c>
      <c r="M28">
        <f t="shared" ca="1" si="2"/>
        <v>-0.05</v>
      </c>
      <c r="P28">
        <f t="shared" ca="1" si="3"/>
        <v>3596.3502398024989</v>
      </c>
    </row>
    <row r="29" spans="1:16" ht="15" thickBot="1">
      <c r="A29" s="23"/>
      <c r="B29" s="20"/>
      <c r="C29" s="26"/>
      <c r="D29" s="27"/>
      <c r="E29" s="29"/>
      <c r="K29">
        <f t="shared" ca="1" si="0"/>
        <v>0.32209000097673035</v>
      </c>
      <c r="L29">
        <f t="shared" ca="1" si="1"/>
        <v>1</v>
      </c>
      <c r="M29">
        <f t="shared" ca="1" si="2"/>
        <v>0.1</v>
      </c>
      <c r="P29">
        <f t="shared" ca="1" si="3"/>
        <v>3955.9852637827489</v>
      </c>
    </row>
    <row r="30" spans="1:16" ht="15" thickBot="1">
      <c r="A30" s="23"/>
      <c r="B30" s="20"/>
      <c r="C30" s="26"/>
      <c r="D30" s="27"/>
      <c r="E30" s="28"/>
      <c r="K30">
        <f t="shared" ca="1" si="0"/>
        <v>0.5410020658540261</v>
      </c>
      <c r="L30">
        <f t="shared" ca="1" si="1"/>
        <v>0</v>
      </c>
      <c r="M30">
        <f t="shared" ca="1" si="2"/>
        <v>-0.05</v>
      </c>
      <c r="P30">
        <f t="shared" ca="1" si="3"/>
        <v>3758.1860005936114</v>
      </c>
    </row>
    <row r="31" spans="1:16" ht="15" thickBot="1">
      <c r="A31" s="23"/>
      <c r="B31" s="20"/>
      <c r="C31" s="28"/>
      <c r="D31" s="27"/>
      <c r="E31" s="26"/>
      <c r="K31">
        <f t="shared" ca="1" si="0"/>
        <v>0.10426535515322655</v>
      </c>
      <c r="L31">
        <f t="shared" ca="1" si="1"/>
        <v>1</v>
      </c>
      <c r="M31">
        <f t="shared" ca="1" si="2"/>
        <v>0.1</v>
      </c>
      <c r="P31">
        <f t="shared" ca="1" si="3"/>
        <v>4134.0046006529728</v>
      </c>
    </row>
    <row r="32" spans="1:16" ht="15" thickBot="1">
      <c r="A32" s="23"/>
      <c r="B32" s="20"/>
      <c r="C32" s="26"/>
      <c r="D32" s="27"/>
      <c r="E32" s="28"/>
      <c r="K32">
        <f t="shared" ca="1" si="0"/>
        <v>0.65220006612350467</v>
      </c>
      <c r="L32">
        <f t="shared" ca="1" si="1"/>
        <v>0</v>
      </c>
      <c r="M32">
        <f t="shared" ca="1" si="2"/>
        <v>-0.05</v>
      </c>
      <c r="P32">
        <f t="shared" ca="1" si="3"/>
        <v>3927.3043706203239</v>
      </c>
    </row>
    <row r="33" spans="1:16" ht="15" thickBot="1">
      <c r="A33" s="23"/>
      <c r="B33" s="20"/>
      <c r="C33" s="28"/>
      <c r="D33" s="27"/>
      <c r="E33" s="28"/>
      <c r="K33">
        <f t="shared" ca="1" si="0"/>
        <v>0.63324348595080959</v>
      </c>
      <c r="L33">
        <f t="shared" ca="1" si="1"/>
        <v>0</v>
      </c>
      <c r="M33">
        <f t="shared" ca="1" si="2"/>
        <v>-0.05</v>
      </c>
      <c r="P33">
        <f t="shared" ca="1" si="3"/>
        <v>3730.9391520893073</v>
      </c>
    </row>
    <row r="34" spans="1:16" ht="15" thickBot="1">
      <c r="A34" s="23"/>
      <c r="B34" s="20"/>
      <c r="C34" s="28"/>
      <c r="D34" s="27"/>
      <c r="E34" s="28"/>
      <c r="K34">
        <f t="shared" ca="1" si="0"/>
        <v>0.57974870892188046</v>
      </c>
      <c r="L34">
        <f t="shared" ca="1" si="1"/>
        <v>0</v>
      </c>
      <c r="M34">
        <f t="shared" ca="1" si="2"/>
        <v>-0.05</v>
      </c>
      <c r="P34">
        <f t="shared" ca="1" si="3"/>
        <v>3544.3921944848416</v>
      </c>
    </row>
    <row r="35" spans="1:16" ht="15" thickBot="1">
      <c r="A35" s="23"/>
      <c r="B35" s="20"/>
      <c r="C35" s="28"/>
      <c r="D35" s="27"/>
      <c r="E35" s="28"/>
      <c r="K35">
        <f t="shared" ca="1" si="0"/>
        <v>0.48234933478790831</v>
      </c>
      <c r="L35">
        <f t="shared" ca="1" si="1"/>
        <v>0</v>
      </c>
      <c r="M35">
        <f t="shared" ca="1" si="2"/>
        <v>-0.05</v>
      </c>
      <c r="P35">
        <f t="shared" ca="1" si="3"/>
        <v>3367.1725847605994</v>
      </c>
    </row>
    <row r="36" spans="1:16" ht="15" thickBot="1">
      <c r="A36" s="23"/>
      <c r="B36" s="20"/>
      <c r="C36" s="26"/>
      <c r="D36" s="27"/>
      <c r="E36" s="28"/>
      <c r="K36">
        <f t="shared" ca="1" si="0"/>
        <v>0.29786865810605734</v>
      </c>
      <c r="L36">
        <f t="shared" ca="1" si="1"/>
        <v>1</v>
      </c>
      <c r="M36">
        <f t="shared" ca="1" si="2"/>
        <v>0.1</v>
      </c>
      <c r="P36">
        <f t="shared" ca="1" si="3"/>
        <v>3703.8898432366595</v>
      </c>
    </row>
    <row r="37" spans="1:16" ht="15" thickBot="1">
      <c r="A37" s="23"/>
      <c r="B37" s="20"/>
      <c r="C37" s="26"/>
      <c r="D37" s="27"/>
      <c r="E37" s="26"/>
      <c r="K37">
        <f t="shared" ca="1" si="0"/>
        <v>0.9864833774667201</v>
      </c>
      <c r="L37">
        <f t="shared" ca="1" si="1"/>
        <v>0</v>
      </c>
      <c r="M37">
        <f t="shared" ca="1" si="2"/>
        <v>-0.05</v>
      </c>
      <c r="P37">
        <f t="shared" ca="1" si="3"/>
        <v>3518.6953510748262</v>
      </c>
    </row>
    <row r="38" spans="1:16" ht="15" thickBot="1">
      <c r="A38" s="23"/>
      <c r="B38" s="20"/>
      <c r="C38" s="26"/>
      <c r="D38" s="27"/>
      <c r="E38" s="29"/>
      <c r="K38">
        <f t="shared" ca="1" si="0"/>
        <v>0.37924264545333453</v>
      </c>
      <c r="L38">
        <f t="shared" ca="1" si="1"/>
        <v>1</v>
      </c>
      <c r="M38">
        <f t="shared" ca="1" si="2"/>
        <v>0.1</v>
      </c>
      <c r="P38">
        <f t="shared" ca="1" si="3"/>
        <v>3870.5648861823092</v>
      </c>
    </row>
    <row r="39" spans="1:16" ht="15" thickBot="1">
      <c r="A39" s="23"/>
      <c r="B39" s="20"/>
      <c r="C39" s="28"/>
      <c r="D39" s="27"/>
      <c r="E39" s="29"/>
      <c r="K39">
        <f t="shared" ca="1" si="0"/>
        <v>0.7924743799257794</v>
      </c>
      <c r="L39">
        <f t="shared" ca="1" si="1"/>
        <v>0</v>
      </c>
      <c r="M39">
        <f t="shared" ca="1" si="2"/>
        <v>-0.05</v>
      </c>
      <c r="P39">
        <f t="shared" ca="1" si="3"/>
        <v>3677.0366418731937</v>
      </c>
    </row>
    <row r="40" spans="1:16" ht="15" thickBot="1">
      <c r="A40" s="23"/>
      <c r="B40" s="20"/>
      <c r="C40" s="28"/>
      <c r="D40" s="27"/>
      <c r="E40" s="26"/>
      <c r="K40">
        <f t="shared" ca="1" si="0"/>
        <v>8.4742924634166883E-2</v>
      </c>
      <c r="L40">
        <f t="shared" ca="1" si="1"/>
        <v>1</v>
      </c>
      <c r="M40">
        <f t="shared" ca="1" si="2"/>
        <v>0.1</v>
      </c>
      <c r="P40">
        <f t="shared" ca="1" si="3"/>
        <v>4044.7403060605134</v>
      </c>
    </row>
    <row r="41" spans="1:16" ht="15" thickBot="1">
      <c r="A41" s="23"/>
      <c r="B41" s="20"/>
      <c r="C41" s="26"/>
      <c r="D41" s="27"/>
      <c r="E41" s="28"/>
      <c r="K41">
        <f t="shared" ca="1" si="0"/>
        <v>0.87178505336826329</v>
      </c>
      <c r="L41">
        <f t="shared" ca="1" si="1"/>
        <v>0</v>
      </c>
      <c r="M41">
        <f t="shared" ca="1" si="2"/>
        <v>-0.05</v>
      </c>
      <c r="P41">
        <f t="shared" ca="1" si="3"/>
        <v>3842.5032907574873</v>
      </c>
    </row>
    <row r="42" spans="1:16" ht="15" thickBot="1">
      <c r="A42" s="23"/>
      <c r="B42" s="20"/>
      <c r="C42" s="28"/>
      <c r="D42" s="27"/>
      <c r="E42" s="28"/>
      <c r="K42">
        <f t="shared" ca="1" si="0"/>
        <v>0.94632785798133112</v>
      </c>
      <c r="L42">
        <f t="shared" ca="1" si="1"/>
        <v>0</v>
      </c>
      <c r="M42">
        <f t="shared" ca="1" si="2"/>
        <v>-0.05</v>
      </c>
      <c r="P42">
        <f t="shared" ca="1" si="3"/>
        <v>3650.3781262196126</v>
      </c>
    </row>
    <row r="43" spans="1:16" ht="15" thickBot="1">
      <c r="A43" s="23"/>
      <c r="B43" s="20"/>
      <c r="C43" s="28"/>
      <c r="D43" s="27"/>
      <c r="E43" s="29"/>
      <c r="K43">
        <f t="shared" ca="1" si="0"/>
        <v>0.38069344838871555</v>
      </c>
      <c r="L43">
        <f t="shared" ca="1" si="1"/>
        <v>1</v>
      </c>
      <c r="M43">
        <f t="shared" ca="1" si="2"/>
        <v>0.1</v>
      </c>
      <c r="P43">
        <f t="shared" ca="1" si="3"/>
        <v>4015.4159388415742</v>
      </c>
    </row>
    <row r="44" spans="1:16" ht="15" thickBot="1">
      <c r="A44" s="23"/>
      <c r="B44" s="20"/>
      <c r="C44" s="28"/>
      <c r="D44" s="27"/>
      <c r="E44" s="28"/>
      <c r="K44">
        <f t="shared" ca="1" si="0"/>
        <v>0.72778355398270966</v>
      </c>
      <c r="L44">
        <f t="shared" ca="1" si="1"/>
        <v>0</v>
      </c>
      <c r="M44">
        <f t="shared" ca="1" si="2"/>
        <v>-0.05</v>
      </c>
      <c r="P44">
        <f t="shared" ca="1" si="3"/>
        <v>3814.6451418994952</v>
      </c>
    </row>
    <row r="45" spans="1:16" ht="15" thickBot="1">
      <c r="A45" s="23"/>
      <c r="B45" s="20"/>
      <c r="C45" s="28"/>
      <c r="D45" s="27"/>
      <c r="E45" s="29"/>
      <c r="K45">
        <f t="shared" ca="1" si="0"/>
        <v>0.1686715172149803</v>
      </c>
      <c r="L45">
        <f t="shared" ca="1" si="1"/>
        <v>1</v>
      </c>
      <c r="M45">
        <f t="shared" ca="1" si="2"/>
        <v>0.1</v>
      </c>
      <c r="P45">
        <f t="shared" ca="1" si="3"/>
        <v>4196.1096560894448</v>
      </c>
    </row>
    <row r="46" spans="1:16" ht="15" thickBot="1">
      <c r="A46" s="23"/>
      <c r="B46" s="20"/>
      <c r="C46" s="26"/>
      <c r="D46" s="27"/>
      <c r="E46" s="29"/>
      <c r="K46">
        <f t="shared" ca="1" si="0"/>
        <v>0.43137473712874685</v>
      </c>
      <c r="L46">
        <f t="shared" ca="1" si="1"/>
        <v>1</v>
      </c>
      <c r="M46">
        <f t="shared" ca="1" si="2"/>
        <v>0.1</v>
      </c>
      <c r="P46">
        <f t="shared" ca="1" si="3"/>
        <v>4615.7206216983896</v>
      </c>
    </row>
    <row r="47" spans="1:16" ht="15" thickBot="1">
      <c r="A47" s="23"/>
      <c r="B47" s="20"/>
      <c r="C47" s="26"/>
      <c r="D47" s="27"/>
      <c r="E47" s="28"/>
      <c r="K47">
        <f t="shared" ca="1" si="0"/>
        <v>0.73801882841966138</v>
      </c>
      <c r="L47">
        <f t="shared" ca="1" si="1"/>
        <v>0</v>
      </c>
      <c r="M47">
        <f t="shared" ca="1" si="2"/>
        <v>-0.05</v>
      </c>
      <c r="P47">
        <f t="shared" ca="1" si="3"/>
        <v>4384.9345906134695</v>
      </c>
    </row>
    <row r="48" spans="1:16" ht="15" thickBot="1">
      <c r="A48" s="23"/>
      <c r="B48" s="20"/>
      <c r="C48" s="28"/>
      <c r="D48" s="27"/>
      <c r="E48" s="29"/>
      <c r="K48">
        <f t="shared" ca="1" si="0"/>
        <v>9.2010691953426593E-2</v>
      </c>
      <c r="L48">
        <f t="shared" ref="L48:L77" ca="1" si="4">IF(K48&lt;=H$10,1,0)</f>
        <v>1</v>
      </c>
      <c r="M48">
        <f t="shared" ca="1" si="2"/>
        <v>0.1</v>
      </c>
      <c r="P48">
        <f t="shared" ca="1" si="3"/>
        <v>4823.428049674817</v>
      </c>
    </row>
    <row r="49" spans="1:16" ht="15" thickBot="1">
      <c r="A49" s="23"/>
      <c r="B49" s="20"/>
      <c r="C49" s="26"/>
      <c r="D49" s="27"/>
      <c r="E49" s="29"/>
      <c r="K49">
        <f t="shared" ref="K49:K100" ca="1" si="5">RAND()</f>
        <v>0.219219163099444</v>
      </c>
      <c r="L49">
        <f t="shared" ca="1" si="4"/>
        <v>1</v>
      </c>
      <c r="M49">
        <f t="shared" ca="1" si="2"/>
        <v>0.1</v>
      </c>
      <c r="P49">
        <f t="shared" ca="1" si="3"/>
        <v>5305.7708546422991</v>
      </c>
    </row>
    <row r="50" spans="1:16" ht="15" thickBot="1">
      <c r="A50" s="23"/>
      <c r="B50" s="20"/>
      <c r="C50" s="26"/>
      <c r="D50" s="27"/>
      <c r="E50" s="28"/>
      <c r="K50">
        <f t="shared" ca="1" si="5"/>
        <v>0.38875257780203742</v>
      </c>
      <c r="L50">
        <f t="shared" ca="1" si="4"/>
        <v>1</v>
      </c>
      <c r="M50">
        <f t="shared" ca="1" si="2"/>
        <v>0.1</v>
      </c>
      <c r="P50">
        <f t="shared" ca="1" si="3"/>
        <v>5836.3479401065297</v>
      </c>
    </row>
    <row r="51" spans="1:16" ht="15" thickBot="1">
      <c r="A51" s="23"/>
      <c r="B51" s="20"/>
      <c r="C51" s="26"/>
      <c r="D51" s="27"/>
      <c r="E51" s="26"/>
      <c r="K51">
        <f t="shared" ca="1" si="5"/>
        <v>0.24821210433689123</v>
      </c>
      <c r="L51">
        <f t="shared" ca="1" si="4"/>
        <v>1</v>
      </c>
      <c r="M51">
        <f t="shared" ca="1" si="2"/>
        <v>0.1</v>
      </c>
      <c r="P51">
        <f t="shared" ca="1" si="3"/>
        <v>6419.9827341171831</v>
      </c>
    </row>
    <row r="52" spans="1:16" ht="15" thickBot="1">
      <c r="A52" s="23"/>
      <c r="B52" s="20"/>
      <c r="C52" s="28"/>
      <c r="D52" s="27"/>
      <c r="E52" s="29"/>
      <c r="K52">
        <f t="shared" ca="1" si="5"/>
        <v>0.8583696874921779</v>
      </c>
      <c r="L52">
        <f t="shared" ca="1" si="4"/>
        <v>0</v>
      </c>
      <c r="M52">
        <f t="shared" ca="1" si="2"/>
        <v>-0.05</v>
      </c>
      <c r="P52">
        <f t="shared" ca="1" si="3"/>
        <v>6098.9835974113239</v>
      </c>
    </row>
    <row r="53" spans="1:16" ht="15" thickBot="1">
      <c r="A53" s="23"/>
      <c r="B53" s="20"/>
      <c r="C53" s="26"/>
      <c r="D53" s="27"/>
      <c r="E53" s="29"/>
      <c r="K53">
        <f t="shared" ca="1" si="5"/>
        <v>0.26116606539073217</v>
      </c>
      <c r="L53">
        <f t="shared" ca="1" si="4"/>
        <v>1</v>
      </c>
      <c r="M53">
        <f t="shared" ca="1" si="2"/>
        <v>0.1</v>
      </c>
      <c r="P53">
        <f t="shared" ca="1" si="3"/>
        <v>6708.8819571524564</v>
      </c>
    </row>
    <row r="54" spans="1:16" ht="15" thickBot="1">
      <c r="A54" s="23"/>
      <c r="B54" s="20"/>
      <c r="C54" s="26"/>
      <c r="D54" s="27"/>
      <c r="E54" s="28"/>
      <c r="K54">
        <f t="shared" ca="1" si="5"/>
        <v>6.5386715310318366E-2</v>
      </c>
      <c r="L54">
        <f t="shared" ca="1" si="4"/>
        <v>1</v>
      </c>
      <c r="M54">
        <f t="shared" ca="1" si="2"/>
        <v>0.1</v>
      </c>
      <c r="P54">
        <f t="shared" ca="1" si="3"/>
        <v>7379.7701528677026</v>
      </c>
    </row>
    <row r="55" spans="1:16" ht="15" thickBot="1">
      <c r="A55" s="23"/>
      <c r="B55" s="20"/>
      <c r="C55" s="26"/>
      <c r="D55" s="27"/>
      <c r="E55" s="29"/>
      <c r="K55">
        <f t="shared" ca="1" si="5"/>
        <v>0.14514163674920566</v>
      </c>
      <c r="L55">
        <f t="shared" ca="1" si="4"/>
        <v>1</v>
      </c>
      <c r="M55">
        <f t="shared" ca="1" si="2"/>
        <v>0.1</v>
      </c>
      <c r="P55">
        <f t="shared" ca="1" si="3"/>
        <v>8117.7471681544739</v>
      </c>
    </row>
    <row r="56" spans="1:16" ht="15" thickBot="1">
      <c r="A56" s="23"/>
      <c r="B56" s="20"/>
      <c r="C56" s="26"/>
      <c r="D56" s="27"/>
      <c r="E56" s="28"/>
      <c r="K56">
        <f t="shared" ca="1" si="5"/>
        <v>0.8851177176702375</v>
      </c>
      <c r="L56">
        <f t="shared" ca="1" si="4"/>
        <v>0</v>
      </c>
      <c r="M56">
        <f t="shared" ca="1" si="2"/>
        <v>-0.05</v>
      </c>
      <c r="P56">
        <f t="shared" ca="1" si="3"/>
        <v>7711.8598097467502</v>
      </c>
    </row>
    <row r="57" spans="1:16" ht="15" thickBot="1">
      <c r="A57" s="23"/>
      <c r="B57" s="20"/>
      <c r="C57" s="26"/>
      <c r="D57" s="27"/>
      <c r="E57" s="26"/>
      <c r="K57">
        <f t="shared" ca="1" si="5"/>
        <v>8.1053236932818074E-2</v>
      </c>
      <c r="L57">
        <f t="shared" ca="1" si="4"/>
        <v>1</v>
      </c>
      <c r="M57">
        <f t="shared" ca="1" si="2"/>
        <v>0.1</v>
      </c>
      <c r="P57">
        <f t="shared" ca="1" si="3"/>
        <v>8483.0457907214259</v>
      </c>
    </row>
    <row r="58" spans="1:16" ht="15" thickBot="1">
      <c r="A58" s="23"/>
      <c r="B58" s="20"/>
      <c r="C58" s="29"/>
      <c r="D58" s="27"/>
      <c r="E58" s="29"/>
      <c r="K58">
        <f t="shared" ca="1" si="5"/>
        <v>0.97039590358531713</v>
      </c>
      <c r="L58">
        <f t="shared" ca="1" si="4"/>
        <v>0</v>
      </c>
      <c r="M58">
        <f t="shared" ca="1" si="2"/>
        <v>-0.05</v>
      </c>
      <c r="P58">
        <f t="shared" ca="1" si="3"/>
        <v>8058.8935011853546</v>
      </c>
    </row>
    <row r="59" spans="1:16" ht="15" thickBot="1">
      <c r="A59" s="23"/>
      <c r="B59" s="20"/>
      <c r="C59" s="26"/>
      <c r="D59" s="27"/>
      <c r="E59" s="28"/>
      <c r="K59">
        <f t="shared" ca="1" si="5"/>
        <v>0.56526495710564739</v>
      </c>
      <c r="L59">
        <f t="shared" ca="1" si="4"/>
        <v>0</v>
      </c>
      <c r="M59">
        <f t="shared" ca="1" si="2"/>
        <v>-0.05</v>
      </c>
      <c r="P59">
        <f t="shared" ca="1" si="3"/>
        <v>7655.9488261260867</v>
      </c>
    </row>
    <row r="60" spans="1:16" ht="15" thickBot="1">
      <c r="A60" s="23"/>
      <c r="B60" s="20"/>
      <c r="C60" s="26"/>
      <c r="D60" s="27"/>
      <c r="E60" s="28"/>
      <c r="K60">
        <f t="shared" ca="1" si="5"/>
        <v>0.84613224566918743</v>
      </c>
      <c r="L60">
        <f t="shared" ca="1" si="4"/>
        <v>0</v>
      </c>
      <c r="M60">
        <f t="shared" ca="1" si="2"/>
        <v>-0.05</v>
      </c>
      <c r="P60">
        <f t="shared" ca="1" si="3"/>
        <v>7273.1513848197819</v>
      </c>
    </row>
    <row r="61" spans="1:16" ht="15" thickBot="1">
      <c r="A61" s="23"/>
      <c r="B61" s="20"/>
      <c r="C61" s="29"/>
      <c r="D61" s="27"/>
      <c r="E61" s="28"/>
      <c r="K61">
        <f t="shared" ca="1" si="5"/>
        <v>0.27865518841816606</v>
      </c>
      <c r="L61">
        <f t="shared" ca="1" si="4"/>
        <v>1</v>
      </c>
      <c r="M61">
        <f t="shared" ca="1" si="2"/>
        <v>0.1</v>
      </c>
      <c r="P61">
        <f t="shared" ca="1" si="3"/>
        <v>8000.4665233017604</v>
      </c>
    </row>
    <row r="62" spans="1:16" ht="15" thickBot="1">
      <c r="A62" s="23"/>
      <c r="B62" s="20"/>
      <c r="C62" s="26"/>
      <c r="D62" s="27"/>
      <c r="E62" s="28"/>
      <c r="K62">
        <f t="shared" ca="1" si="5"/>
        <v>0.72849976727506582</v>
      </c>
      <c r="L62">
        <f t="shared" ca="1" si="4"/>
        <v>0</v>
      </c>
      <c r="M62">
        <f t="shared" ca="1" si="2"/>
        <v>-0.05</v>
      </c>
      <c r="P62">
        <f t="shared" ca="1" si="3"/>
        <v>7600.4431971366721</v>
      </c>
    </row>
    <row r="63" spans="1:16" ht="15" thickBot="1">
      <c r="A63" s="23"/>
      <c r="B63" s="20"/>
      <c r="C63" s="28"/>
      <c r="D63" s="27"/>
      <c r="E63" s="28"/>
      <c r="K63">
        <f t="shared" ca="1" si="5"/>
        <v>0.95935548068769005</v>
      </c>
      <c r="L63">
        <f t="shared" ca="1" si="4"/>
        <v>0</v>
      </c>
      <c r="M63">
        <f t="shared" ca="1" si="2"/>
        <v>-0.05</v>
      </c>
      <c r="P63">
        <f t="shared" ca="1" si="3"/>
        <v>7220.4210372798379</v>
      </c>
    </row>
    <row r="64" spans="1:16" ht="15" thickBot="1">
      <c r="A64" s="23"/>
      <c r="B64" s="20"/>
      <c r="C64" s="26"/>
      <c r="D64" s="27"/>
      <c r="E64" s="28"/>
      <c r="K64">
        <f t="shared" ca="1" si="5"/>
        <v>0.89099908906956571</v>
      </c>
      <c r="L64">
        <f t="shared" ca="1" si="4"/>
        <v>0</v>
      </c>
      <c r="M64">
        <f t="shared" ca="1" si="2"/>
        <v>-0.05</v>
      </c>
      <c r="P64">
        <f t="shared" ca="1" si="3"/>
        <v>6859.3999854158455</v>
      </c>
    </row>
    <row r="65" spans="1:16" ht="15" thickBot="1">
      <c r="A65" s="23"/>
      <c r="B65" s="20"/>
      <c r="C65" s="28"/>
      <c r="D65" s="27"/>
      <c r="E65" s="28"/>
      <c r="K65">
        <f t="shared" ca="1" si="5"/>
        <v>0.57812681941573285</v>
      </c>
      <c r="L65">
        <f t="shared" ca="1" si="4"/>
        <v>0</v>
      </c>
      <c r="M65">
        <f t="shared" ca="1" si="2"/>
        <v>-0.05</v>
      </c>
      <c r="P65">
        <f t="shared" ca="1" si="3"/>
        <v>6516.4299861450527</v>
      </c>
    </row>
    <row r="66" spans="1:16" ht="15" thickBot="1">
      <c r="A66" s="23"/>
      <c r="B66" s="20"/>
      <c r="C66" s="26"/>
      <c r="D66" s="27"/>
      <c r="E66" s="28"/>
      <c r="K66">
        <f t="shared" ca="1" si="5"/>
        <v>6.84414079692931E-2</v>
      </c>
      <c r="L66">
        <f t="shared" ca="1" si="4"/>
        <v>1</v>
      </c>
      <c r="M66">
        <f t="shared" ca="1" si="2"/>
        <v>0.1</v>
      </c>
      <c r="P66">
        <f t="shared" ca="1" si="3"/>
        <v>7168.0729847595585</v>
      </c>
    </row>
    <row r="67" spans="1:16" ht="15" thickBot="1">
      <c r="A67" s="23"/>
      <c r="B67" s="20"/>
      <c r="C67" s="26"/>
      <c r="D67" s="27"/>
      <c r="E67" s="29"/>
      <c r="K67">
        <f t="shared" ca="1" si="5"/>
        <v>0.85691354499581041</v>
      </c>
      <c r="L67">
        <f t="shared" ca="1" si="4"/>
        <v>0</v>
      </c>
      <c r="M67">
        <f t="shared" ca="1" si="2"/>
        <v>-0.05</v>
      </c>
      <c r="P67">
        <f t="shared" ca="1" si="3"/>
        <v>6809.6693355215803</v>
      </c>
    </row>
    <row r="68" spans="1:16" ht="15" thickBot="1">
      <c r="A68" s="23"/>
      <c r="B68" s="20"/>
      <c r="C68" s="26"/>
      <c r="D68" s="27"/>
      <c r="E68" s="26"/>
      <c r="K68">
        <f t="shared" ca="1" si="5"/>
        <v>0.58040264166637834</v>
      </c>
      <c r="L68">
        <f t="shared" ca="1" si="4"/>
        <v>0</v>
      </c>
      <c r="M68">
        <f t="shared" ca="1" si="2"/>
        <v>-0.05</v>
      </c>
      <c r="P68">
        <f t="shared" ca="1" si="3"/>
        <v>6469.1858687455006</v>
      </c>
    </row>
    <row r="69" spans="1:16" ht="15" thickBot="1">
      <c r="A69" s="23"/>
      <c r="B69" s="20"/>
      <c r="C69" s="28"/>
      <c r="D69" s="27"/>
      <c r="E69" s="29"/>
      <c r="K69">
        <f t="shared" ca="1" si="5"/>
        <v>0.4571783893904513</v>
      </c>
      <c r="L69">
        <f t="shared" ca="1" si="4"/>
        <v>0</v>
      </c>
      <c r="M69">
        <f t="shared" ca="1" si="2"/>
        <v>-0.05</v>
      </c>
      <c r="P69">
        <f t="shared" ca="1" si="3"/>
        <v>6145.7265753082256</v>
      </c>
    </row>
    <row r="70" spans="1:16" ht="15" thickBot="1">
      <c r="A70" s="23"/>
      <c r="B70" s="20"/>
      <c r="C70" s="28"/>
      <c r="D70" s="27"/>
      <c r="E70" s="26"/>
      <c r="K70">
        <f t="shared" ca="1" si="5"/>
        <v>0.12403995040064053</v>
      </c>
      <c r="L70">
        <f t="shared" ca="1" si="4"/>
        <v>1</v>
      </c>
      <c r="M70">
        <f t="shared" ca="1" si="2"/>
        <v>0.1</v>
      </c>
      <c r="P70">
        <f t="shared" ca="1" si="3"/>
        <v>6760.2992328390483</v>
      </c>
    </row>
    <row r="71" spans="1:16" ht="15" thickBot="1">
      <c r="A71" s="23"/>
      <c r="B71" s="20"/>
      <c r="C71" s="26"/>
      <c r="D71" s="27"/>
      <c r="E71" s="26"/>
      <c r="K71">
        <f t="shared" ca="1" si="5"/>
        <v>3.4677659556077711E-2</v>
      </c>
      <c r="L71">
        <f t="shared" ca="1" si="4"/>
        <v>1</v>
      </c>
      <c r="M71">
        <f t="shared" ca="1" si="2"/>
        <v>0.1</v>
      </c>
      <c r="P71">
        <f t="shared" ca="1" si="3"/>
        <v>7436.3291561229535</v>
      </c>
    </row>
    <row r="72" spans="1:16" ht="15" thickBot="1">
      <c r="A72" s="23"/>
      <c r="B72" s="20"/>
      <c r="C72" s="26"/>
      <c r="D72" s="27"/>
      <c r="E72" s="26"/>
      <c r="K72">
        <f t="shared" ca="1" si="5"/>
        <v>0.47119255498802015</v>
      </c>
      <c r="L72">
        <f t="shared" ca="1" si="4"/>
        <v>0</v>
      </c>
      <c r="M72">
        <f t="shared" ca="1" si="2"/>
        <v>-0.05</v>
      </c>
      <c r="P72">
        <f t="shared" ca="1" si="3"/>
        <v>7064.5126983168057</v>
      </c>
    </row>
    <row r="73" spans="1:16" ht="15" thickBot="1">
      <c r="A73" s="23"/>
      <c r="B73" s="20"/>
      <c r="C73" s="26"/>
      <c r="D73" s="27"/>
      <c r="E73" s="29"/>
      <c r="K73">
        <f t="shared" ca="1" si="5"/>
        <v>0.47239746753719725</v>
      </c>
      <c r="L73">
        <f t="shared" ca="1" si="4"/>
        <v>0</v>
      </c>
      <c r="M73">
        <f t="shared" ca="1" si="2"/>
        <v>-0.05</v>
      </c>
      <c r="P73">
        <f t="shared" ca="1" si="3"/>
        <v>6711.2870634009651</v>
      </c>
    </row>
    <row r="74" spans="1:16" ht="15" thickBot="1">
      <c r="A74" s="23"/>
      <c r="B74" s="20"/>
      <c r="C74" s="26"/>
      <c r="D74" s="27"/>
      <c r="E74" s="26"/>
      <c r="K74">
        <f t="shared" ca="1" si="5"/>
        <v>0.45487468332529479</v>
      </c>
      <c r="L74">
        <f t="shared" ca="1" si="4"/>
        <v>0</v>
      </c>
      <c r="M74">
        <f t="shared" ref="M74:M100" ca="1" si="6">L74*$G$10*$F$10+(L74-1)*$F$10</f>
        <v>-0.05</v>
      </c>
      <c r="P74">
        <f ca="1">P73*(1+M74)</f>
        <v>6375.7227102309162</v>
      </c>
    </row>
    <row r="75" spans="1:16" ht="15" thickBot="1">
      <c r="A75" s="23"/>
      <c r="B75" s="20"/>
      <c r="C75" s="26"/>
      <c r="D75" s="27"/>
      <c r="E75" s="26"/>
      <c r="K75">
        <f t="shared" ca="1" si="5"/>
        <v>0.78203402188644278</v>
      </c>
      <c r="L75">
        <f t="shared" ca="1" si="4"/>
        <v>0</v>
      </c>
      <c r="M75">
        <f t="shared" ca="1" si="6"/>
        <v>-0.05</v>
      </c>
      <c r="P75">
        <f ca="1">P74*(1+M75)</f>
        <v>6056.9365747193697</v>
      </c>
    </row>
    <row r="76" spans="1:16" ht="15" thickBot="1">
      <c r="A76" s="23"/>
      <c r="B76" s="20"/>
      <c r="C76" s="26"/>
      <c r="D76" s="27"/>
      <c r="E76" s="26"/>
      <c r="K76">
        <f t="shared" ca="1" si="5"/>
        <v>4.6930112614686936E-2</v>
      </c>
      <c r="L76">
        <f t="shared" ca="1" si="4"/>
        <v>1</v>
      </c>
      <c r="M76">
        <f t="shared" ca="1" si="6"/>
        <v>0.1</v>
      </c>
      <c r="P76">
        <f ca="1">P75*(1+M76)</f>
        <v>6662.6302321913072</v>
      </c>
    </row>
    <row r="77" spans="1:16" ht="15" thickBot="1">
      <c r="A77" s="23"/>
      <c r="B77" s="20"/>
      <c r="C77" s="26"/>
      <c r="D77" s="27"/>
      <c r="E77" s="26"/>
      <c r="K77">
        <f t="shared" ca="1" si="5"/>
        <v>0.59052873427795161</v>
      </c>
      <c r="L77">
        <f t="shared" ca="1" si="4"/>
        <v>0</v>
      </c>
      <c r="M77">
        <f t="shared" ca="1" si="6"/>
        <v>-0.05</v>
      </c>
      <c r="P77">
        <f ca="1">P76*(1+M77)</f>
        <v>6329.4987205817415</v>
      </c>
    </row>
    <row r="78" spans="1:16" ht="15" thickBot="1">
      <c r="A78" s="23"/>
      <c r="B78" s="20"/>
      <c r="C78" s="26"/>
      <c r="D78" s="27"/>
      <c r="E78" s="26"/>
      <c r="K78">
        <f t="shared" ca="1" si="5"/>
        <v>0.46853451007545721</v>
      </c>
      <c r="L78">
        <f t="shared" ref="L78:L100" ca="1" si="7">IF(K78&lt;=H$10,1,0)</f>
        <v>0</v>
      </c>
      <c r="M78">
        <f t="shared" ca="1" si="6"/>
        <v>-0.05</v>
      </c>
      <c r="P78">
        <f t="shared" ref="P78:P100" ca="1" si="8">P77*(1+M78)</f>
        <v>6013.0237845526544</v>
      </c>
    </row>
    <row r="79" spans="1:16" ht="15" thickBot="1">
      <c r="A79" s="23"/>
      <c r="B79" s="20"/>
      <c r="C79" s="28"/>
      <c r="D79" s="27"/>
      <c r="E79" s="26"/>
      <c r="K79">
        <f t="shared" ca="1" si="5"/>
        <v>0.22686329596772503</v>
      </c>
      <c r="L79">
        <f t="shared" ca="1" si="7"/>
        <v>1</v>
      </c>
      <c r="M79">
        <f t="shared" ca="1" si="6"/>
        <v>0.1</v>
      </c>
      <c r="P79">
        <f t="shared" ca="1" si="8"/>
        <v>6614.3261630079205</v>
      </c>
    </row>
    <row r="80" spans="1:16" ht="15" thickBot="1">
      <c r="A80" s="23"/>
      <c r="B80" s="20"/>
      <c r="C80" s="28"/>
      <c r="D80" s="27"/>
      <c r="E80" s="28"/>
      <c r="K80">
        <f t="shared" ca="1" si="5"/>
        <v>6.0362632960300755E-2</v>
      </c>
      <c r="L80">
        <f t="shared" ca="1" si="7"/>
        <v>1</v>
      </c>
      <c r="M80">
        <f t="shared" ca="1" si="6"/>
        <v>0.1</v>
      </c>
      <c r="P80">
        <f t="shared" ca="1" si="8"/>
        <v>7275.7587793087132</v>
      </c>
    </row>
    <row r="81" spans="1:16" ht="15" thickBot="1">
      <c r="A81" s="23"/>
      <c r="B81" s="20"/>
      <c r="C81" s="28"/>
      <c r="D81" s="27"/>
      <c r="E81" s="29"/>
      <c r="K81">
        <f t="shared" ca="1" si="5"/>
        <v>0.6362309817301568</v>
      </c>
      <c r="L81">
        <f t="shared" ca="1" si="7"/>
        <v>0</v>
      </c>
      <c r="M81">
        <f t="shared" ca="1" si="6"/>
        <v>-0.05</v>
      </c>
      <c r="P81">
        <f t="shared" ca="1" si="8"/>
        <v>6911.9708403432769</v>
      </c>
    </row>
    <row r="82" spans="1:16" ht="15" thickBot="1">
      <c r="A82" s="23"/>
      <c r="B82" s="20"/>
      <c r="C82" s="28"/>
      <c r="D82" s="27"/>
      <c r="E82" s="29"/>
      <c r="K82">
        <f t="shared" ca="1" si="5"/>
        <v>0.36754378570806334</v>
      </c>
      <c r="L82">
        <f t="shared" ca="1" si="7"/>
        <v>1</v>
      </c>
      <c r="M82">
        <f t="shared" ca="1" si="6"/>
        <v>0.1</v>
      </c>
      <c r="P82">
        <f t="shared" ca="1" si="8"/>
        <v>7603.1679243776052</v>
      </c>
    </row>
    <row r="83" spans="1:16" ht="15" thickBot="1">
      <c r="A83" s="23"/>
      <c r="B83" s="20"/>
      <c r="C83" s="28"/>
      <c r="D83" s="27"/>
      <c r="E83" s="29"/>
      <c r="K83">
        <f t="shared" ca="1" si="5"/>
        <v>0.2776086136365753</v>
      </c>
      <c r="L83">
        <f t="shared" ca="1" si="7"/>
        <v>1</v>
      </c>
      <c r="M83">
        <f t="shared" ca="1" si="6"/>
        <v>0.1</v>
      </c>
      <c r="P83">
        <f t="shared" ca="1" si="8"/>
        <v>8363.4847168153665</v>
      </c>
    </row>
    <row r="84" spans="1:16" ht="15" thickBot="1">
      <c r="A84" s="23"/>
      <c r="B84" s="20"/>
      <c r="C84" s="28"/>
      <c r="D84" s="27"/>
      <c r="E84" s="28"/>
      <c r="K84">
        <f t="shared" ca="1" si="5"/>
        <v>0.4654683647346054</v>
      </c>
      <c r="L84">
        <f t="shared" ca="1" si="7"/>
        <v>0</v>
      </c>
      <c r="M84">
        <f t="shared" ca="1" si="6"/>
        <v>-0.05</v>
      </c>
      <c r="P84">
        <f t="shared" ca="1" si="8"/>
        <v>7945.3104809745973</v>
      </c>
    </row>
    <row r="85" spans="1:16" ht="15" thickBot="1">
      <c r="A85" s="23"/>
      <c r="B85" s="20"/>
      <c r="C85" s="28"/>
      <c r="D85" s="27"/>
      <c r="E85" s="28"/>
      <c r="K85">
        <f t="shared" ca="1" si="5"/>
        <v>0.37314423454418066</v>
      </c>
      <c r="L85">
        <f t="shared" ca="1" si="7"/>
        <v>1</v>
      </c>
      <c r="M85">
        <f t="shared" ca="1" si="6"/>
        <v>0.1</v>
      </c>
      <c r="P85">
        <f t="shared" ca="1" si="8"/>
        <v>8739.8415290720586</v>
      </c>
    </row>
    <row r="86" spans="1:16" ht="15" thickBot="1">
      <c r="A86" s="23"/>
      <c r="B86" s="20"/>
      <c r="C86" s="28"/>
      <c r="D86" s="27"/>
      <c r="E86" s="28"/>
      <c r="K86">
        <f t="shared" ca="1" si="5"/>
        <v>0.67310483856033176</v>
      </c>
      <c r="L86">
        <f t="shared" ca="1" si="7"/>
        <v>0</v>
      </c>
      <c r="M86">
        <f t="shared" ca="1" si="6"/>
        <v>-0.05</v>
      </c>
      <c r="P86">
        <f t="shared" ca="1" si="8"/>
        <v>8302.849452618455</v>
      </c>
    </row>
    <row r="87" spans="1:16" ht="15" thickBot="1">
      <c r="A87" s="23"/>
      <c r="B87" s="20"/>
      <c r="C87" s="28"/>
      <c r="D87" s="27"/>
      <c r="E87" s="28"/>
      <c r="K87">
        <f t="shared" ca="1" si="5"/>
        <v>0.10323408424735281</v>
      </c>
      <c r="L87">
        <f t="shared" ca="1" si="7"/>
        <v>1</v>
      </c>
      <c r="M87">
        <f t="shared" ca="1" si="6"/>
        <v>0.1</v>
      </c>
      <c r="P87">
        <f t="shared" ca="1" si="8"/>
        <v>9133.1343978803015</v>
      </c>
    </row>
    <row r="88" spans="1:16" ht="15" thickBot="1">
      <c r="A88" s="23"/>
      <c r="B88" s="20"/>
      <c r="C88" s="26"/>
      <c r="D88" s="27"/>
      <c r="E88" s="28"/>
      <c r="K88">
        <f t="shared" ca="1" si="5"/>
        <v>0.32027982431624979</v>
      </c>
      <c r="L88">
        <f t="shared" ca="1" si="7"/>
        <v>1</v>
      </c>
      <c r="M88">
        <f t="shared" ca="1" si="6"/>
        <v>0.1</v>
      </c>
      <c r="P88">
        <f t="shared" ca="1" si="8"/>
        <v>10046.447837668333</v>
      </c>
    </row>
    <row r="89" spans="1:16" ht="15" thickBot="1">
      <c r="A89" s="23"/>
      <c r="B89" s="20"/>
      <c r="C89" s="26"/>
      <c r="D89" s="27"/>
      <c r="E89" s="29"/>
      <c r="K89">
        <f t="shared" ca="1" si="5"/>
        <v>0.70305426096565993</v>
      </c>
      <c r="L89">
        <f t="shared" ca="1" si="7"/>
        <v>0</v>
      </c>
      <c r="M89">
        <f t="shared" ca="1" si="6"/>
        <v>-0.05</v>
      </c>
      <c r="P89">
        <f t="shared" ca="1" si="8"/>
        <v>9544.1254457849154</v>
      </c>
    </row>
    <row r="90" spans="1:16" ht="15" thickBot="1">
      <c r="A90" s="23"/>
      <c r="B90" s="20"/>
      <c r="C90" s="28"/>
      <c r="D90" s="27"/>
      <c r="E90" s="26"/>
      <c r="K90">
        <f t="shared" ca="1" si="5"/>
        <v>0.60017643238007501</v>
      </c>
      <c r="L90">
        <f t="shared" ca="1" si="7"/>
        <v>0</v>
      </c>
      <c r="M90">
        <f t="shared" ca="1" si="6"/>
        <v>-0.05</v>
      </c>
      <c r="P90">
        <f t="shared" ca="1" si="8"/>
        <v>9066.9191734956694</v>
      </c>
    </row>
    <row r="91" spans="1:16" ht="15" thickBot="1">
      <c r="A91" s="23"/>
      <c r="B91" s="20"/>
      <c r="C91" s="28"/>
      <c r="D91" s="27"/>
      <c r="E91" s="28"/>
      <c r="K91">
        <f t="shared" ca="1" si="5"/>
        <v>4.4189354756111299E-2</v>
      </c>
      <c r="L91">
        <f t="shared" ca="1" si="7"/>
        <v>1</v>
      </c>
      <c r="M91">
        <f t="shared" ca="1" si="6"/>
        <v>0.1</v>
      </c>
      <c r="P91">
        <f t="shared" ca="1" si="8"/>
        <v>9973.6110908452374</v>
      </c>
    </row>
    <row r="92" spans="1:16" ht="15" thickBot="1">
      <c r="A92" s="23"/>
      <c r="B92" s="20"/>
      <c r="C92" s="28"/>
      <c r="D92" s="27"/>
      <c r="E92" s="28"/>
      <c r="K92">
        <f t="shared" ca="1" si="5"/>
        <v>0.98397042983978567</v>
      </c>
      <c r="L92">
        <f t="shared" ca="1" si="7"/>
        <v>0</v>
      </c>
      <c r="M92">
        <f t="shared" ca="1" si="6"/>
        <v>-0.05</v>
      </c>
      <c r="P92">
        <f t="shared" ca="1" si="8"/>
        <v>9474.9305363029744</v>
      </c>
    </row>
    <row r="93" spans="1:16" ht="15" thickBot="1">
      <c r="A93" s="23"/>
      <c r="B93" s="20"/>
      <c r="C93" s="29"/>
      <c r="D93" s="27"/>
      <c r="E93" s="28"/>
      <c r="K93">
        <f t="shared" ca="1" si="5"/>
        <v>0.90303014952331029</v>
      </c>
      <c r="L93">
        <f t="shared" ca="1" si="7"/>
        <v>0</v>
      </c>
      <c r="M93">
        <f t="shared" ca="1" si="6"/>
        <v>-0.05</v>
      </c>
      <c r="P93">
        <f t="shared" ca="1" si="8"/>
        <v>9001.1840094878244</v>
      </c>
    </row>
    <row r="94" spans="1:16" ht="15" thickBot="1">
      <c r="A94" s="23"/>
      <c r="B94" s="20"/>
      <c r="C94" s="28"/>
      <c r="D94" s="27"/>
      <c r="E94" s="29"/>
      <c r="K94">
        <f t="shared" ca="1" si="5"/>
        <v>0.40132048091490991</v>
      </c>
      <c r="L94">
        <f t="shared" ca="1" si="7"/>
        <v>1</v>
      </c>
      <c r="M94">
        <f t="shared" ca="1" si="6"/>
        <v>0.1</v>
      </c>
      <c r="P94">
        <f t="shared" ca="1" si="8"/>
        <v>9901.3024104366068</v>
      </c>
    </row>
    <row r="95" spans="1:16" ht="15" thickBot="1">
      <c r="A95" s="23"/>
      <c r="B95" s="20"/>
      <c r="C95" s="28"/>
      <c r="D95" s="27"/>
      <c r="E95" s="28"/>
      <c r="K95">
        <f t="shared" ca="1" si="5"/>
        <v>1.3803581735362336E-2</v>
      </c>
      <c r="L95">
        <f t="shared" ca="1" si="7"/>
        <v>1</v>
      </c>
      <c r="M95">
        <f t="shared" ca="1" si="6"/>
        <v>0.1</v>
      </c>
      <c r="P95">
        <f t="shared" ca="1" si="8"/>
        <v>10891.432651480269</v>
      </c>
    </row>
    <row r="96" spans="1:16" ht="15" thickBot="1">
      <c r="A96" s="23"/>
      <c r="B96" s="20"/>
      <c r="C96" s="26"/>
      <c r="D96" s="27"/>
      <c r="E96" s="26"/>
      <c r="K96">
        <f t="shared" ca="1" si="5"/>
        <v>0.67565747114809727</v>
      </c>
      <c r="L96">
        <f t="shared" ca="1" si="7"/>
        <v>0</v>
      </c>
      <c r="M96">
        <f t="shared" ca="1" si="6"/>
        <v>-0.05</v>
      </c>
      <c r="P96">
        <f t="shared" ca="1" si="8"/>
        <v>10346.861018906255</v>
      </c>
    </row>
    <row r="97" spans="1:16" ht="15" thickBot="1">
      <c r="A97" s="23"/>
      <c r="B97" s="20"/>
      <c r="C97" s="28"/>
      <c r="D97" s="27"/>
      <c r="E97" s="28"/>
      <c r="K97">
        <f t="shared" ca="1" si="5"/>
        <v>0.6458120376419374</v>
      </c>
      <c r="L97">
        <f t="shared" ca="1" si="7"/>
        <v>0</v>
      </c>
      <c r="M97">
        <f t="shared" ca="1" si="6"/>
        <v>-0.05</v>
      </c>
      <c r="P97">
        <f t="shared" ca="1" si="8"/>
        <v>9829.517967960941</v>
      </c>
    </row>
    <row r="98" spans="1:16" ht="15" thickBot="1">
      <c r="A98" s="23"/>
      <c r="B98" s="20"/>
      <c r="C98" s="26"/>
      <c r="D98" s="27"/>
      <c r="E98" s="28"/>
      <c r="K98">
        <f t="shared" ca="1" si="5"/>
        <v>0.70368259081761231</v>
      </c>
      <c r="L98">
        <f t="shared" ca="1" si="7"/>
        <v>0</v>
      </c>
      <c r="M98">
        <f t="shared" ca="1" si="6"/>
        <v>-0.05</v>
      </c>
      <c r="P98">
        <f t="shared" ca="1" si="8"/>
        <v>9338.0420695628927</v>
      </c>
    </row>
    <row r="99" spans="1:16" ht="15" thickBot="1">
      <c r="A99" s="23"/>
      <c r="B99" s="20"/>
      <c r="C99" s="26"/>
      <c r="D99" s="27"/>
      <c r="E99" s="28"/>
      <c r="K99">
        <f t="shared" ca="1" si="5"/>
        <v>0.75384837038216279</v>
      </c>
      <c r="L99">
        <f t="shared" ca="1" si="7"/>
        <v>0</v>
      </c>
      <c r="M99">
        <f t="shared" ca="1" si="6"/>
        <v>-0.05</v>
      </c>
      <c r="P99">
        <f t="shared" ca="1" si="8"/>
        <v>8871.1399660847474</v>
      </c>
    </row>
    <row r="100" spans="1:16" ht="15" thickBot="1">
      <c r="A100" s="23"/>
      <c r="B100" s="20"/>
      <c r="C100" s="28"/>
      <c r="D100" s="27"/>
      <c r="E100" s="28"/>
      <c r="K100">
        <f t="shared" ca="1" si="5"/>
        <v>0.16238393192045231</v>
      </c>
      <c r="L100">
        <f t="shared" ca="1" si="7"/>
        <v>1</v>
      </c>
      <c r="M100">
        <f t="shared" ca="1" si="6"/>
        <v>0.1</v>
      </c>
      <c r="P100">
        <f t="shared" ca="1" si="8"/>
        <v>9758.253962693223</v>
      </c>
    </row>
    <row r="101" spans="1:16" ht="15" thickBot="1">
      <c r="A101" s="23"/>
      <c r="B101" s="20"/>
      <c r="C101" s="26"/>
      <c r="D101" s="27"/>
      <c r="E101" s="28"/>
    </row>
    <row r="102" spans="1:16" ht="15" thickBot="1">
      <c r="A102" s="23"/>
      <c r="B102" s="20"/>
      <c r="C102" s="26"/>
      <c r="D102" s="27"/>
      <c r="E102" s="28"/>
    </row>
    <row r="103" spans="1:16" ht="15" thickBot="1">
      <c r="A103" s="23"/>
      <c r="B103" s="20"/>
      <c r="C103" s="28"/>
      <c r="D103" s="27"/>
      <c r="E103" s="28"/>
    </row>
    <row r="104" spans="1:16" ht="15" thickBot="1">
      <c r="A104" s="23"/>
      <c r="B104" s="20"/>
      <c r="C104" s="26"/>
      <c r="D104" s="27"/>
      <c r="E104" s="28"/>
    </row>
    <row r="105" spans="1:16" ht="15" thickBot="1">
      <c r="A105" s="23"/>
      <c r="B105" s="20"/>
      <c r="C105" s="26"/>
      <c r="D105" s="27"/>
      <c r="E105" s="28"/>
    </row>
    <row r="106" spans="1:16" ht="15" thickBot="1">
      <c r="A106" s="23"/>
      <c r="B106" s="20"/>
      <c r="C106" s="29"/>
      <c r="D106" s="27"/>
      <c r="E106" s="28"/>
    </row>
    <row r="107" spans="1:16" ht="15" thickBot="1">
      <c r="A107" s="23"/>
      <c r="B107" s="20"/>
      <c r="C107" s="28"/>
      <c r="D107" s="27"/>
      <c r="E107" s="28"/>
    </row>
    <row r="108" spans="1:16" ht="15" thickBot="1">
      <c r="A108" s="23"/>
      <c r="B108" s="20"/>
      <c r="C108" s="28"/>
      <c r="D108" s="27"/>
      <c r="E108" s="29"/>
    </row>
    <row r="109" spans="1:16" ht="15" thickBot="1">
      <c r="A109" s="23"/>
      <c r="B109" s="20"/>
      <c r="C109" s="28"/>
      <c r="D109" s="27"/>
      <c r="E109" s="28"/>
    </row>
    <row r="110" spans="1:16" ht="15" thickBot="1">
      <c r="A110" s="23"/>
      <c r="B110" s="20"/>
      <c r="C110" s="26"/>
      <c r="D110" s="27"/>
      <c r="E110" s="28"/>
    </row>
    <row r="111" spans="1:16" ht="15" thickBot="1">
      <c r="A111" s="23"/>
      <c r="B111" s="20"/>
      <c r="C111" s="29"/>
      <c r="D111" s="27"/>
      <c r="E111" s="26"/>
    </row>
    <row r="112" spans="1:16" ht="15" thickBot="1">
      <c r="A112" s="23"/>
      <c r="B112" s="20"/>
      <c r="C112" s="28"/>
      <c r="D112" s="27"/>
      <c r="E112" s="28"/>
    </row>
    <row r="113" spans="1:5" ht="15" thickBot="1">
      <c r="A113" s="23"/>
      <c r="B113" s="20"/>
      <c r="C113" s="26"/>
      <c r="D113" s="27"/>
      <c r="E113" s="28"/>
    </row>
    <row r="114" spans="1:5" ht="15" thickBot="1">
      <c r="A114" s="23"/>
      <c r="B114" s="20"/>
      <c r="C114" s="26"/>
      <c r="D114" s="27"/>
      <c r="E114" s="26"/>
    </row>
    <row r="115" spans="1:5" ht="15" thickBot="1">
      <c r="A115" s="23"/>
      <c r="B115" s="20"/>
      <c r="C115" s="26"/>
      <c r="D115" s="27"/>
      <c r="E115" s="28"/>
    </row>
    <row r="116" spans="1:5" ht="15" thickBot="1">
      <c r="A116" s="23"/>
      <c r="B116" s="20"/>
      <c r="C116" s="28"/>
      <c r="D116" s="27"/>
      <c r="E116" s="28"/>
    </row>
    <row r="117" spans="1:5" ht="15" thickBot="1">
      <c r="A117" s="23"/>
      <c r="B117" s="20"/>
      <c r="C117" s="28"/>
      <c r="D117" s="27"/>
      <c r="E117" s="28"/>
    </row>
    <row r="118" spans="1:5" ht="15" thickBot="1">
      <c r="A118" s="23"/>
      <c r="B118" s="20"/>
      <c r="C118" s="26"/>
      <c r="D118" s="27"/>
      <c r="E118" s="28"/>
    </row>
    <row r="119" spans="1:5" ht="15" thickBot="1">
      <c r="A119" s="23"/>
      <c r="B119" s="20"/>
      <c r="C119" s="26"/>
      <c r="D119" s="27"/>
      <c r="E119" s="28"/>
    </row>
    <row r="120" spans="1:5" ht="15" thickBot="1">
      <c r="A120" s="23"/>
      <c r="B120" s="20"/>
      <c r="C120" s="26"/>
      <c r="D120" s="27"/>
      <c r="E120" s="28"/>
    </row>
    <row r="121" spans="1:5">
      <c r="A121" s="23"/>
      <c r="B121" s="20"/>
      <c r="C121" s="26"/>
      <c r="D121" s="27"/>
      <c r="E121" s="28"/>
    </row>
    <row r="122" spans="1:5">
      <c r="A122" s="24"/>
    </row>
  </sheetData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Erstelle</vt:lpstr>
      <vt:lpstr>Tabelle1</vt:lpstr>
      <vt:lpstr>Administratives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dcterms:created xsi:type="dcterms:W3CDTF">2023-10-08T10:06:26Z</dcterms:created>
  <dcterms:modified xsi:type="dcterms:W3CDTF">2024-07-04T12:02:37Z</dcterms:modified>
</cp:coreProperties>
</file>